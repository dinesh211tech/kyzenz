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Code\moneybosshome\store\"/>
    </mc:Choice>
  </mc:AlternateContent>
  <xr:revisionPtr revIDLastSave="0" documentId="13_ncr:1_{6B43F9AC-84D9-4C52-BC70-BD43F7B95047}" xr6:coauthVersionLast="47" xr6:coauthVersionMax="47" xr10:uidLastSave="{00000000-0000-0000-0000-000000000000}"/>
  <bookViews>
    <workbookView xWindow="-90" yWindow="-90" windowWidth="19380" windowHeight="11460" tabRatio="500" xr2:uid="{00000000-000D-0000-FFFF-FFFF00000000}"/>
  </bookViews>
  <sheets>
    <sheet name="App Store" sheetId="1" r:id="rId1"/>
    <sheet name="Google Play" sheetId="2" r:id="rId2"/>
    <sheet name="Store Comparison" sheetId="3" r:id="rId3"/>
  </sheets>
  <definedNames>
    <definedName name="_xlnm._FilterDatabase" localSheetId="0" hidden="1">'App Store'!$A$9:$M$189</definedName>
    <definedName name="_xlnm._FilterDatabase" localSheetId="1" hidden="1">'Google Play'!$A$8:$L$183</definedName>
    <definedName name="_xlnm._FilterDatabase" localSheetId="2" hidden="1">'Store Comparison'!$A$5:$H$198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8" i="3" l="1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183" i="2"/>
  <c r="H183" i="2" s="1"/>
  <c r="I183" i="2" s="1"/>
  <c r="G182" i="2"/>
  <c r="H182" i="2" s="1"/>
  <c r="I182" i="2" s="1"/>
  <c r="G181" i="2"/>
  <c r="H181" i="2" s="1"/>
  <c r="I181" i="2" s="1"/>
  <c r="H180" i="2"/>
  <c r="I180" i="2" s="1"/>
  <c r="G180" i="2"/>
  <c r="I179" i="2"/>
  <c r="G179" i="2"/>
  <c r="H179" i="2" s="1"/>
  <c r="G178" i="2"/>
  <c r="H178" i="2" s="1"/>
  <c r="I178" i="2" s="1"/>
  <c r="G177" i="2"/>
  <c r="H177" i="2" s="1"/>
  <c r="I177" i="2" s="1"/>
  <c r="H176" i="2"/>
  <c r="I176" i="2" s="1"/>
  <c r="G176" i="2"/>
  <c r="H175" i="2"/>
  <c r="I175" i="2" s="1"/>
  <c r="G175" i="2"/>
  <c r="G174" i="2"/>
  <c r="H174" i="2" s="1"/>
  <c r="I174" i="2" s="1"/>
  <c r="H173" i="2"/>
  <c r="I173" i="2" s="1"/>
  <c r="G173" i="2"/>
  <c r="G172" i="2"/>
  <c r="H172" i="2" s="1"/>
  <c r="I172" i="2" s="1"/>
  <c r="H171" i="2"/>
  <c r="I171" i="2" s="1"/>
  <c r="G171" i="2"/>
  <c r="G170" i="2"/>
  <c r="H170" i="2" s="1"/>
  <c r="I170" i="2" s="1"/>
  <c r="G169" i="2"/>
  <c r="H169" i="2" s="1"/>
  <c r="I169" i="2" s="1"/>
  <c r="G168" i="2"/>
  <c r="H168" i="2" s="1"/>
  <c r="I168" i="2" s="1"/>
  <c r="G167" i="2"/>
  <c r="H167" i="2" s="1"/>
  <c r="I167" i="2" s="1"/>
  <c r="H166" i="2"/>
  <c r="I166" i="2" s="1"/>
  <c r="G166" i="2"/>
  <c r="H165" i="2"/>
  <c r="I165" i="2" s="1"/>
  <c r="G165" i="2"/>
  <c r="I164" i="2"/>
  <c r="G164" i="2"/>
  <c r="H164" i="2" s="1"/>
  <c r="I163" i="2"/>
  <c r="H163" i="2"/>
  <c r="G163" i="2"/>
  <c r="H162" i="2"/>
  <c r="I162" i="2" s="1"/>
  <c r="G162" i="2"/>
  <c r="H161" i="2"/>
  <c r="I161" i="2" s="1"/>
  <c r="G161" i="2"/>
  <c r="H160" i="2"/>
  <c r="I160" i="2" s="1"/>
  <c r="G160" i="2"/>
  <c r="G159" i="2"/>
  <c r="H159" i="2" s="1"/>
  <c r="I159" i="2" s="1"/>
  <c r="G158" i="2"/>
  <c r="H158" i="2" s="1"/>
  <c r="I158" i="2" s="1"/>
  <c r="G157" i="2"/>
  <c r="H157" i="2" s="1"/>
  <c r="I157" i="2" s="1"/>
  <c r="I156" i="2"/>
  <c r="G156" i="2"/>
  <c r="H156" i="2" s="1"/>
  <c r="G155" i="2"/>
  <c r="H155" i="2" s="1"/>
  <c r="I155" i="2" s="1"/>
  <c r="G154" i="2"/>
  <c r="H154" i="2" s="1"/>
  <c r="I154" i="2" s="1"/>
  <c r="G153" i="2"/>
  <c r="H153" i="2" s="1"/>
  <c r="I153" i="2" s="1"/>
  <c r="G152" i="2"/>
  <c r="H152" i="2" s="1"/>
  <c r="I152" i="2" s="1"/>
  <c r="H151" i="2"/>
  <c r="I151" i="2" s="1"/>
  <c r="G151" i="2"/>
  <c r="G150" i="2"/>
  <c r="H150" i="2" s="1"/>
  <c r="I150" i="2" s="1"/>
  <c r="G149" i="2"/>
  <c r="H149" i="2" s="1"/>
  <c r="I149" i="2" s="1"/>
  <c r="H148" i="2"/>
  <c r="I148" i="2" s="1"/>
  <c r="G148" i="2"/>
  <c r="G147" i="2"/>
  <c r="H147" i="2" s="1"/>
  <c r="I147" i="2" s="1"/>
  <c r="H146" i="2"/>
  <c r="I146" i="2" s="1"/>
  <c r="G146" i="2"/>
  <c r="G145" i="2"/>
  <c r="H145" i="2" s="1"/>
  <c r="I145" i="2" s="1"/>
  <c r="I144" i="2"/>
  <c r="G144" i="2"/>
  <c r="H144" i="2" s="1"/>
  <c r="G143" i="2"/>
  <c r="H143" i="2" s="1"/>
  <c r="I143" i="2" s="1"/>
  <c r="I142" i="2"/>
  <c r="H142" i="2"/>
  <c r="G142" i="2"/>
  <c r="G141" i="2"/>
  <c r="H141" i="2" s="1"/>
  <c r="I141" i="2" s="1"/>
  <c r="G140" i="2"/>
  <c r="H140" i="2" s="1"/>
  <c r="I140" i="2" s="1"/>
  <c r="I139" i="2"/>
  <c r="G139" i="2"/>
  <c r="H139" i="2" s="1"/>
  <c r="H138" i="2"/>
  <c r="I138" i="2" s="1"/>
  <c r="G138" i="2"/>
  <c r="G137" i="2"/>
  <c r="H137" i="2" s="1"/>
  <c r="I137" i="2" s="1"/>
  <c r="G136" i="2"/>
  <c r="H136" i="2" s="1"/>
  <c r="I136" i="2" s="1"/>
  <c r="G135" i="2"/>
  <c r="H135" i="2" s="1"/>
  <c r="I135" i="2" s="1"/>
  <c r="G134" i="2"/>
  <c r="H134" i="2" s="1"/>
  <c r="I134" i="2" s="1"/>
  <c r="H133" i="2"/>
  <c r="I133" i="2" s="1"/>
  <c r="G133" i="2"/>
  <c r="G132" i="2"/>
  <c r="H132" i="2" s="1"/>
  <c r="I132" i="2" s="1"/>
  <c r="H131" i="2"/>
  <c r="I131" i="2" s="1"/>
  <c r="G131" i="2"/>
  <c r="G130" i="2"/>
  <c r="H130" i="2" s="1"/>
  <c r="I130" i="2" s="1"/>
  <c r="G129" i="2"/>
  <c r="H129" i="2" s="1"/>
  <c r="I129" i="2" s="1"/>
  <c r="G128" i="2"/>
  <c r="H128" i="2" s="1"/>
  <c r="I128" i="2" s="1"/>
  <c r="G127" i="2"/>
  <c r="H127" i="2" s="1"/>
  <c r="I127" i="2" s="1"/>
  <c r="H126" i="2"/>
  <c r="I126" i="2" s="1"/>
  <c r="G126" i="2"/>
  <c r="H125" i="2"/>
  <c r="I125" i="2" s="1"/>
  <c r="G125" i="2"/>
  <c r="I124" i="2"/>
  <c r="G124" i="2"/>
  <c r="H124" i="2" s="1"/>
  <c r="G123" i="2"/>
  <c r="H123" i="2" s="1"/>
  <c r="I123" i="2" s="1"/>
  <c r="G122" i="2"/>
  <c r="H122" i="2" s="1"/>
  <c r="I122" i="2" s="1"/>
  <c r="G121" i="2"/>
  <c r="H121" i="2" s="1"/>
  <c r="I121" i="2" s="1"/>
  <c r="G120" i="2"/>
  <c r="H120" i="2" s="1"/>
  <c r="I120" i="2" s="1"/>
  <c r="I119" i="2"/>
  <c r="G119" i="2"/>
  <c r="H119" i="2" s="1"/>
  <c r="I118" i="2"/>
  <c r="G118" i="2"/>
  <c r="H118" i="2" s="1"/>
  <c r="G117" i="2"/>
  <c r="H117" i="2" s="1"/>
  <c r="I117" i="2" s="1"/>
  <c r="G116" i="2"/>
  <c r="H116" i="2" s="1"/>
  <c r="I116" i="2" s="1"/>
  <c r="G115" i="2"/>
  <c r="H115" i="2" s="1"/>
  <c r="I115" i="2" s="1"/>
  <c r="G114" i="2"/>
  <c r="H114" i="2" s="1"/>
  <c r="I114" i="2" s="1"/>
  <c r="G113" i="2"/>
  <c r="H113" i="2" s="1"/>
  <c r="I113" i="2" s="1"/>
  <c r="G112" i="2"/>
  <c r="H112" i="2" s="1"/>
  <c r="I112" i="2" s="1"/>
  <c r="I111" i="2"/>
  <c r="H111" i="2"/>
  <c r="G111" i="2"/>
  <c r="H110" i="2"/>
  <c r="I110" i="2" s="1"/>
  <c r="G110" i="2"/>
  <c r="I109" i="2"/>
  <c r="H109" i="2"/>
  <c r="G109" i="2"/>
  <c r="H108" i="2"/>
  <c r="I108" i="2" s="1"/>
  <c r="G108" i="2"/>
  <c r="H107" i="2"/>
  <c r="I107" i="2" s="1"/>
  <c r="G107" i="2"/>
  <c r="H106" i="2"/>
  <c r="I106" i="2" s="1"/>
  <c r="G106" i="2"/>
  <c r="G105" i="2"/>
  <c r="H105" i="2" s="1"/>
  <c r="I105" i="2" s="1"/>
  <c r="G104" i="2"/>
  <c r="H104" i="2" s="1"/>
  <c r="I104" i="2" s="1"/>
  <c r="G103" i="2"/>
  <c r="H103" i="2" s="1"/>
  <c r="I103" i="2" s="1"/>
  <c r="H102" i="2"/>
  <c r="I102" i="2" s="1"/>
  <c r="G102" i="2"/>
  <c r="G101" i="2"/>
  <c r="H101" i="2" s="1"/>
  <c r="I101" i="2" s="1"/>
  <c r="G100" i="2"/>
  <c r="H100" i="2" s="1"/>
  <c r="I100" i="2" s="1"/>
  <c r="G99" i="2"/>
  <c r="H99" i="2" s="1"/>
  <c r="I99" i="2" s="1"/>
  <c r="G98" i="2"/>
  <c r="H98" i="2" s="1"/>
  <c r="I98" i="2" s="1"/>
  <c r="G97" i="2"/>
  <c r="H97" i="2" s="1"/>
  <c r="I97" i="2" s="1"/>
  <c r="G96" i="2"/>
  <c r="H96" i="2" s="1"/>
  <c r="I96" i="2" s="1"/>
  <c r="H95" i="2"/>
  <c r="I95" i="2" s="1"/>
  <c r="G95" i="2"/>
  <c r="I94" i="2"/>
  <c r="H94" i="2"/>
  <c r="G94" i="2"/>
  <c r="H93" i="2"/>
  <c r="I93" i="2" s="1"/>
  <c r="G93" i="2"/>
  <c r="G92" i="2"/>
  <c r="H92" i="2" s="1"/>
  <c r="I92" i="2" s="1"/>
  <c r="I91" i="2"/>
  <c r="H91" i="2"/>
  <c r="G91" i="2"/>
  <c r="H90" i="2"/>
  <c r="I90" i="2" s="1"/>
  <c r="G90" i="2"/>
  <c r="G89" i="2"/>
  <c r="H89" i="2" s="1"/>
  <c r="I89" i="2" s="1"/>
  <c r="H88" i="2"/>
  <c r="I88" i="2" s="1"/>
  <c r="G88" i="2"/>
  <c r="G87" i="2"/>
  <c r="H87" i="2" s="1"/>
  <c r="I87" i="2" s="1"/>
  <c r="I86" i="2"/>
  <c r="H86" i="2"/>
  <c r="G86" i="2"/>
  <c r="H85" i="2"/>
  <c r="I85" i="2" s="1"/>
  <c r="G85" i="2"/>
  <c r="G84" i="2"/>
  <c r="H84" i="2" s="1"/>
  <c r="I84" i="2" s="1"/>
  <c r="G83" i="2"/>
  <c r="H83" i="2" s="1"/>
  <c r="I83" i="2" s="1"/>
  <c r="G82" i="2"/>
  <c r="H82" i="2" s="1"/>
  <c r="I82" i="2" s="1"/>
  <c r="G81" i="2"/>
  <c r="H81" i="2" s="1"/>
  <c r="I81" i="2" s="1"/>
  <c r="H80" i="2"/>
  <c r="I80" i="2" s="1"/>
  <c r="G80" i="2"/>
  <c r="I79" i="2"/>
  <c r="G79" i="2"/>
  <c r="H79" i="2" s="1"/>
  <c r="G78" i="2"/>
  <c r="H78" i="2" s="1"/>
  <c r="I78" i="2" s="1"/>
  <c r="G77" i="2"/>
  <c r="H77" i="2" s="1"/>
  <c r="I77" i="2" s="1"/>
  <c r="H76" i="2"/>
  <c r="I76" i="2" s="1"/>
  <c r="G76" i="2"/>
  <c r="H75" i="2"/>
  <c r="I75" i="2" s="1"/>
  <c r="G75" i="2"/>
  <c r="G74" i="2"/>
  <c r="H74" i="2" s="1"/>
  <c r="I74" i="2" s="1"/>
  <c r="H73" i="2"/>
  <c r="I73" i="2" s="1"/>
  <c r="G73" i="2"/>
  <c r="G72" i="2"/>
  <c r="H72" i="2" s="1"/>
  <c r="I72" i="2" s="1"/>
  <c r="H71" i="2"/>
  <c r="I71" i="2" s="1"/>
  <c r="G71" i="2"/>
  <c r="H70" i="2"/>
  <c r="I70" i="2" s="1"/>
  <c r="G70" i="2"/>
  <c r="G69" i="2"/>
  <c r="H69" i="2" s="1"/>
  <c r="I69" i="2" s="1"/>
  <c r="G68" i="2"/>
  <c r="H68" i="2" s="1"/>
  <c r="I68" i="2" s="1"/>
  <c r="G67" i="2"/>
  <c r="H67" i="2" s="1"/>
  <c r="I67" i="2" s="1"/>
  <c r="H66" i="2"/>
  <c r="I66" i="2" s="1"/>
  <c r="G66" i="2"/>
  <c r="H65" i="2"/>
  <c r="I65" i="2" s="1"/>
  <c r="G65" i="2"/>
  <c r="I64" i="2"/>
  <c r="G64" i="2"/>
  <c r="H64" i="2" s="1"/>
  <c r="I63" i="2"/>
  <c r="H63" i="2"/>
  <c r="G63" i="2"/>
  <c r="H62" i="2"/>
  <c r="I62" i="2" s="1"/>
  <c r="G62" i="2"/>
  <c r="H61" i="2"/>
  <c r="I61" i="2" s="1"/>
  <c r="G61" i="2"/>
  <c r="H60" i="2"/>
  <c r="I60" i="2" s="1"/>
  <c r="G60" i="2"/>
  <c r="G59" i="2"/>
  <c r="H59" i="2" s="1"/>
  <c r="I59" i="2" s="1"/>
  <c r="H58" i="2"/>
  <c r="I58" i="2" s="1"/>
  <c r="G58" i="2"/>
  <c r="G57" i="2"/>
  <c r="H57" i="2" s="1"/>
  <c r="I57" i="2" s="1"/>
  <c r="G56" i="2"/>
  <c r="H56" i="2" s="1"/>
  <c r="I56" i="2" s="1"/>
  <c r="I55" i="2"/>
  <c r="H55" i="2"/>
  <c r="G55" i="2"/>
  <c r="G54" i="2"/>
  <c r="H54" i="2" s="1"/>
  <c r="I54" i="2" s="1"/>
  <c r="G53" i="2"/>
  <c r="H53" i="2" s="1"/>
  <c r="I53" i="2" s="1"/>
  <c r="G52" i="2"/>
  <c r="H52" i="2" s="1"/>
  <c r="I52" i="2" s="1"/>
  <c r="H51" i="2"/>
  <c r="I51" i="2" s="1"/>
  <c r="G51" i="2"/>
  <c r="H50" i="2"/>
  <c r="I50" i="2" s="1"/>
  <c r="G50" i="2"/>
  <c r="G49" i="2"/>
  <c r="H49" i="2" s="1"/>
  <c r="I49" i="2" s="1"/>
  <c r="H48" i="2"/>
  <c r="I48" i="2" s="1"/>
  <c r="G48" i="2"/>
  <c r="G47" i="2"/>
  <c r="H47" i="2" s="1"/>
  <c r="I47" i="2" s="1"/>
  <c r="H46" i="2"/>
  <c r="I46" i="2" s="1"/>
  <c r="G46" i="2"/>
  <c r="G45" i="2"/>
  <c r="H45" i="2" s="1"/>
  <c r="I45" i="2" s="1"/>
  <c r="I44" i="2"/>
  <c r="G44" i="2"/>
  <c r="H44" i="2" s="1"/>
  <c r="G43" i="2"/>
  <c r="H43" i="2" s="1"/>
  <c r="I43" i="2" s="1"/>
  <c r="H42" i="2"/>
  <c r="I42" i="2" s="1"/>
  <c r="G42" i="2"/>
  <c r="G41" i="2"/>
  <c r="H41" i="2" s="1"/>
  <c r="I41" i="2" s="1"/>
  <c r="I40" i="2"/>
  <c r="H40" i="2"/>
  <c r="G40" i="2"/>
  <c r="I39" i="2"/>
  <c r="G39" i="2"/>
  <c r="H39" i="2" s="1"/>
  <c r="H38" i="2"/>
  <c r="I38" i="2" s="1"/>
  <c r="G38" i="2"/>
  <c r="G37" i="2"/>
  <c r="H37" i="2" s="1"/>
  <c r="I37" i="2" s="1"/>
  <c r="G36" i="2"/>
  <c r="H36" i="2" s="1"/>
  <c r="I36" i="2" s="1"/>
  <c r="H35" i="2"/>
  <c r="I35" i="2" s="1"/>
  <c r="G35" i="2"/>
  <c r="I34" i="2"/>
  <c r="G34" i="2"/>
  <c r="H34" i="2" s="1"/>
  <c r="H33" i="2"/>
  <c r="I33" i="2" s="1"/>
  <c r="G33" i="2"/>
  <c r="G32" i="2"/>
  <c r="H32" i="2" s="1"/>
  <c r="I32" i="2" s="1"/>
  <c r="H31" i="2"/>
  <c r="I31" i="2" s="1"/>
  <c r="G31" i="2"/>
  <c r="G30" i="2"/>
  <c r="H30" i="2" s="1"/>
  <c r="I30" i="2" s="1"/>
  <c r="G29" i="2"/>
  <c r="H29" i="2" s="1"/>
  <c r="I29" i="2" s="1"/>
  <c r="G28" i="2"/>
  <c r="H28" i="2" s="1"/>
  <c r="I28" i="2" s="1"/>
  <c r="H27" i="2"/>
  <c r="I27" i="2" s="1"/>
  <c r="G27" i="2"/>
  <c r="H26" i="2"/>
  <c r="I26" i="2" s="1"/>
  <c r="G26" i="2"/>
  <c r="I25" i="2"/>
  <c r="H25" i="2"/>
  <c r="G25" i="2"/>
  <c r="G24" i="2"/>
  <c r="H24" i="2" s="1"/>
  <c r="I24" i="2" s="1"/>
  <c r="G23" i="2"/>
  <c r="H23" i="2" s="1"/>
  <c r="I23" i="2" s="1"/>
  <c r="G22" i="2"/>
  <c r="H22" i="2" s="1"/>
  <c r="I22" i="2" s="1"/>
  <c r="G21" i="2"/>
  <c r="H21" i="2" s="1"/>
  <c r="I21" i="2" s="1"/>
  <c r="G20" i="2"/>
  <c r="H20" i="2" s="1"/>
  <c r="I20" i="2" s="1"/>
  <c r="G19" i="2"/>
  <c r="H19" i="2" s="1"/>
  <c r="I19" i="2" s="1"/>
  <c r="H18" i="2"/>
  <c r="I18" i="2" s="1"/>
  <c r="G18" i="2"/>
  <c r="G17" i="2"/>
  <c r="H17" i="2" s="1"/>
  <c r="I17" i="2" s="1"/>
  <c r="H16" i="2"/>
  <c r="I16" i="2" s="1"/>
  <c r="G16" i="2"/>
  <c r="H15" i="2"/>
  <c r="I15" i="2" s="1"/>
  <c r="G15" i="2"/>
  <c r="H14" i="2"/>
  <c r="I14" i="2" s="1"/>
  <c r="G14" i="2"/>
  <c r="G13" i="2"/>
  <c r="H13" i="2" s="1"/>
  <c r="I13" i="2" s="1"/>
  <c r="H12" i="2"/>
  <c r="I12" i="2" s="1"/>
  <c r="G12" i="2"/>
  <c r="H11" i="2"/>
  <c r="I11" i="2" s="1"/>
  <c r="G11" i="2"/>
  <c r="H10" i="2"/>
  <c r="I10" i="2" s="1"/>
  <c r="G10" i="2"/>
  <c r="G9" i="2"/>
  <c r="H9" i="2" s="1"/>
  <c r="I9" i="2" s="1"/>
  <c r="H189" i="1"/>
  <c r="I189" i="1" s="1"/>
  <c r="J189" i="1" s="1"/>
  <c r="F189" i="1"/>
  <c r="F188" i="1"/>
  <c r="H188" i="1" s="1"/>
  <c r="I188" i="1" s="1"/>
  <c r="J188" i="1" s="1"/>
  <c r="F187" i="1"/>
  <c r="H187" i="1" s="1"/>
  <c r="I187" i="1" s="1"/>
  <c r="J187" i="1" s="1"/>
  <c r="J186" i="1"/>
  <c r="F186" i="1"/>
  <c r="H186" i="1" s="1"/>
  <c r="I186" i="1" s="1"/>
  <c r="H185" i="1"/>
  <c r="I185" i="1" s="1"/>
  <c r="J185" i="1" s="1"/>
  <c r="F185" i="1"/>
  <c r="H184" i="1"/>
  <c r="I184" i="1" s="1"/>
  <c r="J184" i="1" s="1"/>
  <c r="F184" i="1"/>
  <c r="F183" i="1"/>
  <c r="H183" i="1" s="1"/>
  <c r="I183" i="1" s="1"/>
  <c r="J183" i="1" s="1"/>
  <c r="F182" i="1"/>
  <c r="H182" i="1" s="1"/>
  <c r="I182" i="1" s="1"/>
  <c r="J182" i="1" s="1"/>
  <c r="F181" i="1"/>
  <c r="H181" i="1" s="1"/>
  <c r="I181" i="1" s="1"/>
  <c r="J181" i="1" s="1"/>
  <c r="I180" i="1"/>
  <c r="J180" i="1" s="1"/>
  <c r="F180" i="1"/>
  <c r="H180" i="1" s="1"/>
  <c r="I179" i="1"/>
  <c r="J179" i="1" s="1"/>
  <c r="H179" i="1"/>
  <c r="F179" i="1"/>
  <c r="F178" i="1"/>
  <c r="H178" i="1" s="1"/>
  <c r="I178" i="1" s="1"/>
  <c r="J178" i="1" s="1"/>
  <c r="F177" i="1"/>
  <c r="H177" i="1" s="1"/>
  <c r="I177" i="1" s="1"/>
  <c r="J177" i="1" s="1"/>
  <c r="J176" i="1"/>
  <c r="F176" i="1"/>
  <c r="H176" i="1" s="1"/>
  <c r="I176" i="1" s="1"/>
  <c r="F175" i="1"/>
  <c r="H175" i="1" s="1"/>
  <c r="I175" i="1" s="1"/>
  <c r="J175" i="1" s="1"/>
  <c r="H174" i="1"/>
  <c r="I174" i="1" s="1"/>
  <c r="J174" i="1" s="1"/>
  <c r="F174" i="1"/>
  <c r="J173" i="1"/>
  <c r="I173" i="1"/>
  <c r="H173" i="1"/>
  <c r="F173" i="1"/>
  <c r="F172" i="1"/>
  <c r="H172" i="1" s="1"/>
  <c r="I172" i="1" s="1"/>
  <c r="J172" i="1" s="1"/>
  <c r="J171" i="1"/>
  <c r="F171" i="1"/>
  <c r="H171" i="1" s="1"/>
  <c r="I171" i="1" s="1"/>
  <c r="F170" i="1"/>
  <c r="H170" i="1" s="1"/>
  <c r="I170" i="1" s="1"/>
  <c r="J170" i="1" s="1"/>
  <c r="F169" i="1"/>
  <c r="H169" i="1" s="1"/>
  <c r="I169" i="1" s="1"/>
  <c r="J169" i="1" s="1"/>
  <c r="F168" i="1"/>
  <c r="H168" i="1" s="1"/>
  <c r="I168" i="1" s="1"/>
  <c r="J168" i="1" s="1"/>
  <c r="F167" i="1"/>
  <c r="H167" i="1" s="1"/>
  <c r="I167" i="1" s="1"/>
  <c r="J167" i="1" s="1"/>
  <c r="J166" i="1"/>
  <c r="F166" i="1"/>
  <c r="H166" i="1" s="1"/>
  <c r="I166" i="1" s="1"/>
  <c r="F165" i="1"/>
  <c r="H165" i="1" s="1"/>
  <c r="I165" i="1" s="1"/>
  <c r="J165" i="1" s="1"/>
  <c r="F164" i="1"/>
  <c r="H164" i="1" s="1"/>
  <c r="I164" i="1" s="1"/>
  <c r="J164" i="1" s="1"/>
  <c r="J163" i="1"/>
  <c r="I163" i="1"/>
  <c r="H163" i="1"/>
  <c r="F163" i="1"/>
  <c r="F162" i="1"/>
  <c r="H162" i="1" s="1"/>
  <c r="I162" i="1" s="1"/>
  <c r="J162" i="1" s="1"/>
  <c r="J161" i="1"/>
  <c r="F161" i="1"/>
  <c r="H161" i="1" s="1"/>
  <c r="I161" i="1" s="1"/>
  <c r="F160" i="1"/>
  <c r="H160" i="1" s="1"/>
  <c r="I160" i="1" s="1"/>
  <c r="J160" i="1" s="1"/>
  <c r="F159" i="1"/>
  <c r="H159" i="1" s="1"/>
  <c r="I159" i="1" s="1"/>
  <c r="J159" i="1" s="1"/>
  <c r="F158" i="1"/>
  <c r="H158" i="1" s="1"/>
  <c r="I158" i="1" s="1"/>
  <c r="J158" i="1" s="1"/>
  <c r="H157" i="1"/>
  <c r="I157" i="1" s="1"/>
  <c r="J157" i="1" s="1"/>
  <c r="F157" i="1"/>
  <c r="J156" i="1"/>
  <c r="F156" i="1"/>
  <c r="H156" i="1" s="1"/>
  <c r="I156" i="1" s="1"/>
  <c r="J155" i="1"/>
  <c r="I155" i="1"/>
  <c r="H155" i="1"/>
  <c r="F155" i="1"/>
  <c r="F154" i="1"/>
  <c r="H154" i="1" s="1"/>
  <c r="I154" i="1" s="1"/>
  <c r="J154" i="1" s="1"/>
  <c r="H153" i="1"/>
  <c r="I153" i="1" s="1"/>
  <c r="J153" i="1" s="1"/>
  <c r="F153" i="1"/>
  <c r="F151" i="1"/>
  <c r="H151" i="1" s="1"/>
  <c r="I151" i="1" s="1"/>
  <c r="J151" i="1" s="1"/>
  <c r="F150" i="1"/>
  <c r="H150" i="1" s="1"/>
  <c r="I150" i="1" s="1"/>
  <c r="J150" i="1" s="1"/>
  <c r="I149" i="1"/>
  <c r="J149" i="1" s="1"/>
  <c r="F149" i="1"/>
  <c r="H149" i="1" s="1"/>
  <c r="F148" i="1"/>
  <c r="H148" i="1" s="1"/>
  <c r="I148" i="1" s="1"/>
  <c r="J148" i="1" s="1"/>
  <c r="H147" i="1"/>
  <c r="I147" i="1" s="1"/>
  <c r="J147" i="1" s="1"/>
  <c r="F147" i="1"/>
  <c r="H146" i="1"/>
  <c r="I146" i="1" s="1"/>
  <c r="J146" i="1" s="1"/>
  <c r="F146" i="1"/>
  <c r="F145" i="1"/>
  <c r="H145" i="1" s="1"/>
  <c r="I145" i="1" s="1"/>
  <c r="J145" i="1" s="1"/>
  <c r="H144" i="1"/>
  <c r="I144" i="1" s="1"/>
  <c r="J144" i="1" s="1"/>
  <c r="F144" i="1"/>
  <c r="H143" i="1"/>
  <c r="I143" i="1" s="1"/>
  <c r="J143" i="1" s="1"/>
  <c r="F143" i="1"/>
  <c r="H142" i="1"/>
  <c r="I142" i="1" s="1"/>
  <c r="J142" i="1" s="1"/>
  <c r="F142" i="1"/>
  <c r="H141" i="1"/>
  <c r="I141" i="1" s="1"/>
  <c r="J141" i="1" s="1"/>
  <c r="F141" i="1"/>
  <c r="F140" i="1"/>
  <c r="H140" i="1" s="1"/>
  <c r="I140" i="1" s="1"/>
  <c r="J140" i="1" s="1"/>
  <c r="F139" i="1"/>
  <c r="H139" i="1" s="1"/>
  <c r="I139" i="1" s="1"/>
  <c r="J139" i="1" s="1"/>
  <c r="I138" i="1"/>
  <c r="J138" i="1" s="1"/>
  <c r="F138" i="1"/>
  <c r="H138" i="1" s="1"/>
  <c r="I137" i="1"/>
  <c r="J137" i="1" s="1"/>
  <c r="H137" i="1"/>
  <c r="F137" i="1"/>
  <c r="H136" i="1"/>
  <c r="I136" i="1" s="1"/>
  <c r="J136" i="1" s="1"/>
  <c r="F136" i="1"/>
  <c r="F135" i="1"/>
  <c r="H135" i="1" s="1"/>
  <c r="I135" i="1" s="1"/>
  <c r="J135" i="1" s="1"/>
  <c r="H134" i="1"/>
  <c r="I134" i="1" s="1"/>
  <c r="J134" i="1" s="1"/>
  <c r="F134" i="1"/>
  <c r="F133" i="1"/>
  <c r="H133" i="1" s="1"/>
  <c r="I133" i="1" s="1"/>
  <c r="J133" i="1" s="1"/>
  <c r="J132" i="1"/>
  <c r="H132" i="1"/>
  <c r="I132" i="1" s="1"/>
  <c r="F132" i="1"/>
  <c r="I131" i="1"/>
  <c r="J131" i="1" s="1"/>
  <c r="H131" i="1"/>
  <c r="F131" i="1"/>
  <c r="F130" i="1"/>
  <c r="H130" i="1" s="1"/>
  <c r="I130" i="1" s="1"/>
  <c r="J130" i="1" s="1"/>
  <c r="H129" i="1"/>
  <c r="I129" i="1" s="1"/>
  <c r="J129" i="1" s="1"/>
  <c r="F129" i="1"/>
  <c r="F128" i="1"/>
  <c r="H128" i="1" s="1"/>
  <c r="I128" i="1" s="1"/>
  <c r="J128" i="1" s="1"/>
  <c r="F127" i="1"/>
  <c r="H127" i="1" s="1"/>
  <c r="I127" i="1" s="1"/>
  <c r="J127" i="1" s="1"/>
  <c r="H126" i="1"/>
  <c r="I126" i="1" s="1"/>
  <c r="J126" i="1" s="1"/>
  <c r="F126" i="1"/>
  <c r="J125" i="1"/>
  <c r="F125" i="1"/>
  <c r="H125" i="1" s="1"/>
  <c r="I125" i="1" s="1"/>
  <c r="H124" i="1"/>
  <c r="I124" i="1" s="1"/>
  <c r="J124" i="1" s="1"/>
  <c r="F124" i="1"/>
  <c r="F123" i="1"/>
  <c r="H123" i="1" s="1"/>
  <c r="I123" i="1" s="1"/>
  <c r="J123" i="1" s="1"/>
  <c r="F122" i="1"/>
  <c r="H122" i="1" s="1"/>
  <c r="I122" i="1" s="1"/>
  <c r="J122" i="1" s="1"/>
  <c r="F121" i="1"/>
  <c r="H121" i="1" s="1"/>
  <c r="I121" i="1" s="1"/>
  <c r="J121" i="1" s="1"/>
  <c r="F120" i="1"/>
  <c r="H120" i="1" s="1"/>
  <c r="I120" i="1" s="1"/>
  <c r="J120" i="1" s="1"/>
  <c r="I119" i="1"/>
  <c r="J119" i="1" s="1"/>
  <c r="H119" i="1"/>
  <c r="F119" i="1"/>
  <c r="F118" i="1"/>
  <c r="H118" i="1" s="1"/>
  <c r="I118" i="1" s="1"/>
  <c r="J118" i="1" s="1"/>
  <c r="F117" i="1"/>
  <c r="H117" i="1" s="1"/>
  <c r="I117" i="1" s="1"/>
  <c r="J117" i="1" s="1"/>
  <c r="F116" i="1"/>
  <c r="H116" i="1" s="1"/>
  <c r="I116" i="1" s="1"/>
  <c r="J116" i="1" s="1"/>
  <c r="F115" i="1"/>
  <c r="H115" i="1" s="1"/>
  <c r="I115" i="1" s="1"/>
  <c r="J115" i="1" s="1"/>
  <c r="F113" i="1"/>
  <c r="H113" i="1" s="1"/>
  <c r="I113" i="1" s="1"/>
  <c r="J113" i="1" s="1"/>
  <c r="F112" i="1"/>
  <c r="H112" i="1" s="1"/>
  <c r="I112" i="1" s="1"/>
  <c r="J112" i="1" s="1"/>
  <c r="H111" i="1"/>
  <c r="I111" i="1" s="1"/>
  <c r="J111" i="1" s="1"/>
  <c r="F111" i="1"/>
  <c r="H110" i="1"/>
  <c r="I110" i="1" s="1"/>
  <c r="J110" i="1" s="1"/>
  <c r="F110" i="1"/>
  <c r="F109" i="1"/>
  <c r="H109" i="1" s="1"/>
  <c r="I109" i="1" s="1"/>
  <c r="J109" i="1" s="1"/>
  <c r="F108" i="1"/>
  <c r="H108" i="1" s="1"/>
  <c r="I108" i="1" s="1"/>
  <c r="J108" i="1" s="1"/>
  <c r="H107" i="1"/>
  <c r="I107" i="1" s="1"/>
  <c r="J107" i="1" s="1"/>
  <c r="F107" i="1"/>
  <c r="H106" i="1"/>
  <c r="I106" i="1" s="1"/>
  <c r="J106" i="1" s="1"/>
  <c r="F106" i="1"/>
  <c r="H105" i="1"/>
  <c r="I105" i="1" s="1"/>
  <c r="J105" i="1" s="1"/>
  <c r="F105" i="1"/>
  <c r="F104" i="1"/>
  <c r="H104" i="1" s="1"/>
  <c r="I104" i="1" s="1"/>
  <c r="J104" i="1" s="1"/>
  <c r="F103" i="1"/>
  <c r="H103" i="1" s="1"/>
  <c r="I103" i="1" s="1"/>
  <c r="J103" i="1" s="1"/>
  <c r="F102" i="1"/>
  <c r="H102" i="1" s="1"/>
  <c r="I102" i="1" s="1"/>
  <c r="J102" i="1" s="1"/>
  <c r="I101" i="1"/>
  <c r="J101" i="1" s="1"/>
  <c r="H101" i="1"/>
  <c r="F101" i="1"/>
  <c r="H100" i="1"/>
  <c r="I100" i="1" s="1"/>
  <c r="J100" i="1" s="1"/>
  <c r="F100" i="1"/>
  <c r="F99" i="1"/>
  <c r="H99" i="1" s="1"/>
  <c r="I99" i="1" s="1"/>
  <c r="J99" i="1" s="1"/>
  <c r="H98" i="1"/>
  <c r="I98" i="1" s="1"/>
  <c r="J98" i="1" s="1"/>
  <c r="F98" i="1"/>
  <c r="F97" i="1"/>
  <c r="H97" i="1" s="1"/>
  <c r="I97" i="1" s="1"/>
  <c r="J97" i="1" s="1"/>
  <c r="H96" i="1"/>
  <c r="I96" i="1" s="1"/>
  <c r="J96" i="1" s="1"/>
  <c r="F96" i="1"/>
  <c r="I95" i="1"/>
  <c r="J95" i="1" s="1"/>
  <c r="H95" i="1"/>
  <c r="F95" i="1"/>
  <c r="F94" i="1"/>
  <c r="H94" i="1" s="1"/>
  <c r="I94" i="1" s="1"/>
  <c r="J94" i="1" s="1"/>
  <c r="H93" i="1"/>
  <c r="I93" i="1" s="1"/>
  <c r="J93" i="1" s="1"/>
  <c r="F93" i="1"/>
  <c r="F92" i="1"/>
  <c r="H92" i="1" s="1"/>
  <c r="I92" i="1" s="1"/>
  <c r="J92" i="1" s="1"/>
  <c r="F91" i="1"/>
  <c r="H91" i="1" s="1"/>
  <c r="I91" i="1" s="1"/>
  <c r="J91" i="1" s="1"/>
  <c r="H90" i="1"/>
  <c r="I90" i="1" s="1"/>
  <c r="J90" i="1" s="1"/>
  <c r="F90" i="1"/>
  <c r="J89" i="1"/>
  <c r="H89" i="1"/>
  <c r="I89" i="1" s="1"/>
  <c r="F89" i="1"/>
  <c r="F88" i="1"/>
  <c r="H88" i="1" s="1"/>
  <c r="I88" i="1" s="1"/>
  <c r="J88" i="1" s="1"/>
  <c r="F87" i="1"/>
  <c r="H87" i="1" s="1"/>
  <c r="I87" i="1" s="1"/>
  <c r="J87" i="1" s="1"/>
  <c r="F86" i="1"/>
  <c r="H86" i="1" s="1"/>
  <c r="I86" i="1" s="1"/>
  <c r="J86" i="1" s="1"/>
  <c r="H85" i="1"/>
  <c r="I85" i="1" s="1"/>
  <c r="J85" i="1" s="1"/>
  <c r="F85" i="1"/>
  <c r="F84" i="1"/>
  <c r="H84" i="1" s="1"/>
  <c r="I84" i="1" s="1"/>
  <c r="J84" i="1" s="1"/>
  <c r="F83" i="1"/>
  <c r="H83" i="1" s="1"/>
  <c r="I83" i="1" s="1"/>
  <c r="J83" i="1" s="1"/>
  <c r="H82" i="1"/>
  <c r="I82" i="1" s="1"/>
  <c r="J82" i="1" s="1"/>
  <c r="F82" i="1"/>
  <c r="F81" i="1"/>
  <c r="H81" i="1" s="1"/>
  <c r="I81" i="1" s="1"/>
  <c r="J81" i="1" s="1"/>
  <c r="F80" i="1"/>
  <c r="H80" i="1" s="1"/>
  <c r="I80" i="1" s="1"/>
  <c r="J80" i="1" s="1"/>
  <c r="F79" i="1"/>
  <c r="H79" i="1" s="1"/>
  <c r="I79" i="1" s="1"/>
  <c r="J79" i="1" s="1"/>
  <c r="I78" i="1"/>
  <c r="J78" i="1" s="1"/>
  <c r="H78" i="1"/>
  <c r="F78" i="1"/>
  <c r="F77" i="1"/>
  <c r="H77" i="1" s="1"/>
  <c r="I77" i="1" s="1"/>
  <c r="J77" i="1" s="1"/>
  <c r="F76" i="1"/>
  <c r="H76" i="1" s="1"/>
  <c r="I76" i="1" s="1"/>
  <c r="J76" i="1" s="1"/>
  <c r="F75" i="1"/>
  <c r="H75" i="1" s="1"/>
  <c r="I75" i="1" s="1"/>
  <c r="J75" i="1" s="1"/>
  <c r="H74" i="1"/>
  <c r="I74" i="1" s="1"/>
  <c r="J74" i="1" s="1"/>
  <c r="F74" i="1"/>
  <c r="F73" i="1"/>
  <c r="H73" i="1" s="1"/>
  <c r="I73" i="1" s="1"/>
  <c r="J73" i="1" s="1"/>
  <c r="F72" i="1"/>
  <c r="H72" i="1" s="1"/>
  <c r="I72" i="1" s="1"/>
  <c r="J72" i="1" s="1"/>
  <c r="H71" i="1"/>
  <c r="I71" i="1" s="1"/>
  <c r="J71" i="1" s="1"/>
  <c r="F71" i="1"/>
  <c r="H70" i="1"/>
  <c r="I70" i="1" s="1"/>
  <c r="J70" i="1" s="1"/>
  <c r="F70" i="1"/>
  <c r="F69" i="1"/>
  <c r="H69" i="1" s="1"/>
  <c r="I69" i="1" s="1"/>
  <c r="J69" i="1" s="1"/>
  <c r="F68" i="1"/>
  <c r="H68" i="1" s="1"/>
  <c r="I68" i="1" s="1"/>
  <c r="J68" i="1" s="1"/>
  <c r="I67" i="1"/>
  <c r="J67" i="1" s="1"/>
  <c r="H67" i="1"/>
  <c r="F67" i="1"/>
  <c r="F66" i="1"/>
  <c r="H66" i="1" s="1"/>
  <c r="I66" i="1" s="1"/>
  <c r="J66" i="1" s="1"/>
  <c r="F65" i="1"/>
  <c r="H65" i="1" s="1"/>
  <c r="I65" i="1" s="1"/>
  <c r="J65" i="1" s="1"/>
  <c r="F64" i="1"/>
  <c r="H64" i="1" s="1"/>
  <c r="I64" i="1" s="1"/>
  <c r="J64" i="1" s="1"/>
  <c r="F63" i="1"/>
  <c r="H63" i="1" s="1"/>
  <c r="I63" i="1" s="1"/>
  <c r="J63" i="1" s="1"/>
  <c r="J62" i="1"/>
  <c r="I62" i="1"/>
  <c r="F62" i="1"/>
  <c r="H62" i="1" s="1"/>
  <c r="F61" i="1"/>
  <c r="H61" i="1" s="1"/>
  <c r="I61" i="1" s="1"/>
  <c r="J61" i="1" s="1"/>
  <c r="F60" i="1"/>
  <c r="H60" i="1" s="1"/>
  <c r="I60" i="1" s="1"/>
  <c r="J60" i="1" s="1"/>
  <c r="F59" i="1"/>
  <c r="H59" i="1" s="1"/>
  <c r="I59" i="1" s="1"/>
  <c r="J59" i="1" s="1"/>
  <c r="F58" i="1"/>
  <c r="H58" i="1" s="1"/>
  <c r="I58" i="1" s="1"/>
  <c r="J58" i="1" s="1"/>
  <c r="H57" i="1"/>
  <c r="I57" i="1" s="1"/>
  <c r="J57" i="1" s="1"/>
  <c r="F57" i="1"/>
  <c r="I55" i="1"/>
  <c r="J55" i="1" s="1"/>
  <c r="H55" i="1"/>
  <c r="F55" i="1"/>
  <c r="H54" i="1"/>
  <c r="I54" i="1" s="1"/>
  <c r="J54" i="1" s="1"/>
  <c r="F54" i="1"/>
  <c r="H53" i="1"/>
  <c r="I53" i="1" s="1"/>
  <c r="J53" i="1" s="1"/>
  <c r="F53" i="1"/>
  <c r="F52" i="1"/>
  <c r="H52" i="1" s="1"/>
  <c r="I52" i="1" s="1"/>
  <c r="J52" i="1" s="1"/>
  <c r="H51" i="1"/>
  <c r="I51" i="1" s="1"/>
  <c r="J51" i="1" s="1"/>
  <c r="F51" i="1"/>
  <c r="F50" i="1"/>
  <c r="H50" i="1" s="1"/>
  <c r="I50" i="1" s="1"/>
  <c r="J50" i="1" s="1"/>
  <c r="I49" i="1"/>
  <c r="J49" i="1" s="1"/>
  <c r="H49" i="1"/>
  <c r="F49" i="1"/>
  <c r="F48" i="1"/>
  <c r="H48" i="1" s="1"/>
  <c r="I48" i="1" s="1"/>
  <c r="J48" i="1" s="1"/>
  <c r="F47" i="1"/>
  <c r="H47" i="1" s="1"/>
  <c r="I47" i="1" s="1"/>
  <c r="J47" i="1" s="1"/>
  <c r="F46" i="1"/>
  <c r="H46" i="1" s="1"/>
  <c r="I46" i="1" s="1"/>
  <c r="J46" i="1" s="1"/>
  <c r="F45" i="1"/>
  <c r="H45" i="1" s="1"/>
  <c r="I45" i="1" s="1"/>
  <c r="J45" i="1" s="1"/>
  <c r="H44" i="1"/>
  <c r="I44" i="1" s="1"/>
  <c r="J44" i="1" s="1"/>
  <c r="F44" i="1"/>
  <c r="F43" i="1"/>
  <c r="H43" i="1" s="1"/>
  <c r="I43" i="1" s="1"/>
  <c r="J43" i="1" s="1"/>
  <c r="H42" i="1"/>
  <c r="I42" i="1" s="1"/>
  <c r="J42" i="1" s="1"/>
  <c r="F42" i="1"/>
  <c r="F41" i="1"/>
  <c r="H41" i="1" s="1"/>
  <c r="I41" i="1" s="1"/>
  <c r="J41" i="1" s="1"/>
  <c r="F40" i="1"/>
  <c r="H40" i="1" s="1"/>
  <c r="I40" i="1" s="1"/>
  <c r="J40" i="1" s="1"/>
  <c r="H39" i="1"/>
  <c r="I39" i="1" s="1"/>
  <c r="J39" i="1" s="1"/>
  <c r="F39" i="1"/>
  <c r="J38" i="1"/>
  <c r="H38" i="1"/>
  <c r="I38" i="1" s="1"/>
  <c r="F38" i="1"/>
  <c r="F37" i="1"/>
  <c r="H37" i="1" s="1"/>
  <c r="I37" i="1" s="1"/>
  <c r="J37" i="1" s="1"/>
  <c r="F36" i="1"/>
  <c r="H36" i="1" s="1"/>
  <c r="I36" i="1" s="1"/>
  <c r="J36" i="1" s="1"/>
  <c r="F35" i="1"/>
  <c r="H35" i="1" s="1"/>
  <c r="I35" i="1" s="1"/>
  <c r="J35" i="1" s="1"/>
  <c r="F34" i="1"/>
  <c r="H34" i="1" s="1"/>
  <c r="I34" i="1" s="1"/>
  <c r="J34" i="1" s="1"/>
  <c r="F33" i="1"/>
  <c r="H33" i="1" s="1"/>
  <c r="I33" i="1" s="1"/>
  <c r="J33" i="1" s="1"/>
  <c r="F32" i="1"/>
  <c r="H32" i="1" s="1"/>
  <c r="I32" i="1" s="1"/>
  <c r="J32" i="1" s="1"/>
  <c r="H31" i="1"/>
  <c r="I31" i="1" s="1"/>
  <c r="J31" i="1" s="1"/>
  <c r="F31" i="1"/>
  <c r="F30" i="1"/>
  <c r="H30" i="1" s="1"/>
  <c r="I30" i="1" s="1"/>
  <c r="J30" i="1" s="1"/>
  <c r="F29" i="1"/>
  <c r="H29" i="1" s="1"/>
  <c r="I29" i="1" s="1"/>
  <c r="J29" i="1" s="1"/>
  <c r="F28" i="1"/>
  <c r="H28" i="1" s="1"/>
  <c r="I28" i="1" s="1"/>
  <c r="J28" i="1" s="1"/>
  <c r="I27" i="1"/>
  <c r="J27" i="1" s="1"/>
  <c r="H27" i="1"/>
  <c r="F27" i="1"/>
  <c r="F26" i="1"/>
  <c r="H26" i="1" s="1"/>
  <c r="I26" i="1" s="1"/>
  <c r="J26" i="1" s="1"/>
  <c r="F25" i="1"/>
  <c r="H25" i="1" s="1"/>
  <c r="I25" i="1" s="1"/>
  <c r="J25" i="1" s="1"/>
  <c r="F24" i="1"/>
  <c r="H24" i="1" s="1"/>
  <c r="I24" i="1" s="1"/>
  <c r="J24" i="1" s="1"/>
  <c r="F23" i="1"/>
  <c r="H23" i="1" s="1"/>
  <c r="I23" i="1" s="1"/>
  <c r="J23" i="1" s="1"/>
  <c r="I22" i="1"/>
  <c r="J22" i="1" s="1"/>
  <c r="F22" i="1"/>
  <c r="H22" i="1" s="1"/>
  <c r="F21" i="1"/>
  <c r="H21" i="1" s="1"/>
  <c r="I21" i="1" s="1"/>
  <c r="J21" i="1" s="1"/>
  <c r="H20" i="1"/>
  <c r="I20" i="1" s="1"/>
  <c r="J20" i="1" s="1"/>
  <c r="F20" i="1"/>
  <c r="H19" i="1"/>
  <c r="I19" i="1" s="1"/>
  <c r="J19" i="1" s="1"/>
  <c r="F19" i="1"/>
  <c r="F18" i="1"/>
  <c r="H18" i="1" s="1"/>
  <c r="I18" i="1" s="1"/>
  <c r="J18" i="1" s="1"/>
  <c r="F17" i="1"/>
  <c r="H17" i="1" s="1"/>
  <c r="I17" i="1" s="1"/>
  <c r="J17" i="1" s="1"/>
  <c r="I16" i="1"/>
  <c r="J16" i="1" s="1"/>
  <c r="H16" i="1"/>
  <c r="F16" i="1"/>
  <c r="F15" i="1"/>
  <c r="H15" i="1" s="1"/>
  <c r="I15" i="1" s="1"/>
  <c r="J15" i="1" s="1"/>
  <c r="F14" i="1"/>
  <c r="H14" i="1" s="1"/>
  <c r="I14" i="1" s="1"/>
  <c r="J14" i="1" s="1"/>
  <c r="F12" i="1"/>
  <c r="H12" i="1" s="1"/>
  <c r="I12" i="1" s="1"/>
  <c r="J12" i="1" s="1"/>
  <c r="I11" i="1"/>
  <c r="J11" i="1" s="1"/>
  <c r="H11" i="1"/>
  <c r="F11" i="1"/>
  <c r="C203" i="3" l="1"/>
  <c r="C204" i="3"/>
  <c r="C201" i="3"/>
  <c r="C202" i="3"/>
  <c r="C206" i="3"/>
  <c r="C205" i="3"/>
</calcChain>
</file>

<file path=xl/sharedStrings.xml><?xml version="1.0" encoding="utf-8"?>
<sst xmlns="http://schemas.openxmlformats.org/spreadsheetml/2006/main" count="1390" uniqueCount="419">
  <si>
    <t>App Store PPP Pricing — Final Price Calculator</t>
  </si>
  <si>
    <t>Final price = PricePush price (what you receive) ÷ (1 − Apple cut) × (1 + country tax). Tax is derived from Apple's own price and proceeds.</t>
  </si>
  <si>
    <t>Apple cut (your rate)</t>
  </si>
  <si>
    <t>← Small Business Program rate. Change to 30% if not approved.</t>
  </si>
  <si>
    <t>Apple cut in screenshots</t>
  </si>
  <si>
    <t>← Commission Apple took in the $9.99 screenshots; used only to derive tax %.</t>
  </si>
  <si>
    <t>PricePush base price (USD)</t>
  </si>
  <si>
    <t>← PricePush grid (pricepush.app/price-localizer) read on 26 Sep 2026 at this base.</t>
  </si>
  <si>
    <t>Legend: blue text = input values (from screenshots / PricePush); black = formulas; yellow = settings you can change.</t>
  </si>
  <si>
    <t>S.No</t>
  </si>
  <si>
    <t>Country</t>
  </si>
  <si>
    <t>Currency (unit)</t>
  </si>
  <si>
    <t>Apple price (current)</t>
  </si>
  <si>
    <t>Apple proceeds (current)</t>
  </si>
  <si>
    <t>Country tax %</t>
  </si>
  <si>
    <t>PricePush price (you receive)</t>
  </si>
  <si>
    <t>Final price</t>
  </si>
  <si>
    <t>Rounded price</t>
  </si>
  <si>
    <t>You receive at rounded price</t>
  </si>
  <si>
    <t>Rounding step</t>
  </si>
  <si>
    <t>Price ending</t>
  </si>
  <si>
    <t>Notes</t>
  </si>
  <si>
    <t>The United States and Canada (2)</t>
  </si>
  <si>
    <t>United States</t>
  </si>
  <si>
    <t>US Dollar ($)</t>
  </si>
  <si>
    <t>Canada</t>
  </si>
  <si>
    <t>Canadian Dollar (C$)</t>
  </si>
  <si>
    <t>Europe (42)</t>
  </si>
  <si>
    <t>Albania</t>
  </si>
  <si>
    <t>Austria</t>
  </si>
  <si>
    <t>Euro (€)</t>
  </si>
  <si>
    <t>Belarus</t>
  </si>
  <si>
    <t>Belgium</t>
  </si>
  <si>
    <t>Bosnia and Herzegovina</t>
  </si>
  <si>
    <t>Converted from PricePush US$6.49 (PricePush rate: 0.8769 EUR/USD)</t>
  </si>
  <si>
    <t>Bulgaria</t>
  </si>
  <si>
    <t>Croatia</t>
  </si>
  <si>
    <t>Cyprus</t>
  </si>
  <si>
    <t>Czech Republic</t>
  </si>
  <si>
    <t>Czech Koruna (Kč)</t>
  </si>
  <si>
    <t>Denmark</t>
  </si>
  <si>
    <t>Danish Krone (kr)</t>
  </si>
  <si>
    <t>Estonia</t>
  </si>
  <si>
    <t>Finland</t>
  </si>
  <si>
    <t>France</t>
  </si>
  <si>
    <t>Germany</t>
  </si>
  <si>
    <t>Greece</t>
  </si>
  <si>
    <t>Hungary</t>
  </si>
  <si>
    <t>Hungarian Forint (Ft)</t>
  </si>
  <si>
    <t>Iceland</t>
  </si>
  <si>
    <t>Converted from PricePush €8.99 (0.8769 EUR/USD, PricePush rate)</t>
  </si>
  <si>
    <t>Ireland</t>
  </si>
  <si>
    <t>Italy</t>
  </si>
  <si>
    <t>Kosovo</t>
  </si>
  <si>
    <t>Converted from PricePush US$4.99 (PricePush rate: 0.8769 EUR/USD)</t>
  </si>
  <si>
    <t>Latvia</t>
  </si>
  <si>
    <t>Lithuania</t>
  </si>
  <si>
    <t>Luxembourg</t>
  </si>
  <si>
    <t>Malta</t>
  </si>
  <si>
    <t>Moldova</t>
  </si>
  <si>
    <t>Montenegro</t>
  </si>
  <si>
    <t>Netherlands</t>
  </si>
  <si>
    <t>North Macedonia</t>
  </si>
  <si>
    <t>Norway</t>
  </si>
  <si>
    <t>Norwegian Krone (kr)</t>
  </si>
  <si>
    <t>Poland</t>
  </si>
  <si>
    <t>Polish Zloty (zł)</t>
  </si>
  <si>
    <t>Portugal</t>
  </si>
  <si>
    <t>Romania</t>
  </si>
  <si>
    <t>Romanian Leu (lei)</t>
  </si>
  <si>
    <t>Russia</t>
  </si>
  <si>
    <t>Russian Ruble (₽)</t>
  </si>
  <si>
    <t>Serbia</t>
  </si>
  <si>
    <t>Converted from PricePush RSD 659.00 via USD (PricePush rates)</t>
  </si>
  <si>
    <t>Slovakia</t>
  </si>
  <si>
    <t>Slovenia</t>
  </si>
  <si>
    <t>Spain</t>
  </si>
  <si>
    <t>Sweden</t>
  </si>
  <si>
    <t>Swedish Krona (kr)</t>
  </si>
  <si>
    <t>Switzerland</t>
  </si>
  <si>
    <t>Swiss Franc (CHF)</t>
  </si>
  <si>
    <t>Türkiye</t>
  </si>
  <si>
    <t>Turkish Lira (₺)</t>
  </si>
  <si>
    <t>Ukraine</t>
  </si>
  <si>
    <t>Converted from PricePush ₴214.99 (44.8799 UAH/USD, PricePush rate)</t>
  </si>
  <si>
    <t>United Kingdom</t>
  </si>
  <si>
    <t>British Pound (£)</t>
  </si>
  <si>
    <t>Africa, Middle East, and India (57)</t>
  </si>
  <si>
    <t>Afghanistan</t>
  </si>
  <si>
    <t>Algeria</t>
  </si>
  <si>
    <t>Converted from PricePush DA650.00 (133.8298 DZD/USD, PricePush rate)</t>
  </si>
  <si>
    <t>Angola</t>
  </si>
  <si>
    <t>Armenia</t>
  </si>
  <si>
    <t>Azerbaijan</t>
  </si>
  <si>
    <t>Bahrain</t>
  </si>
  <si>
    <t>Benin</t>
  </si>
  <si>
    <t>Converted from PricePush €2.49 (0.8769 EUR/USD, PricePush rate)</t>
  </si>
  <si>
    <t>Botswana</t>
  </si>
  <si>
    <t>Burkina Faso</t>
  </si>
  <si>
    <t>Converted from PricePush €1.49 (0.8769 EUR/USD, PricePush rate)</t>
  </si>
  <si>
    <t>Cameroon</t>
  </si>
  <si>
    <t>Converted from PricePush FCFA1,500.00 (575.4755 XAF/USD, PricePush rate)</t>
  </si>
  <si>
    <t>Cape Verde</t>
  </si>
  <si>
    <t>Chad</t>
  </si>
  <si>
    <t>Congo, Democratic Republic of the</t>
  </si>
  <si>
    <t>Congo, Republic of the</t>
  </si>
  <si>
    <t>Côte d'Ivoire</t>
  </si>
  <si>
    <t>Egypt</t>
  </si>
  <si>
    <t>Egyptian Pound (E£)</t>
  </si>
  <si>
    <t>Eswatini</t>
  </si>
  <si>
    <t>Gabon</t>
  </si>
  <si>
    <t>Converted from PricePush €3.99 (0.8769 EUR/USD, PricePush rate)</t>
  </si>
  <si>
    <t>Gambia</t>
  </si>
  <si>
    <t>Georgia</t>
  </si>
  <si>
    <t>Converted from PricePush ₾17.00 (2.6096 GEL/USD, PricePush rate)</t>
  </si>
  <si>
    <t>Ghana</t>
  </si>
  <si>
    <t>Converted from PricePush ₵30.00 (11.5696 GHS/USD, PricePush rate)</t>
  </si>
  <si>
    <t>Guinea-Bissau</t>
  </si>
  <si>
    <t>India</t>
  </si>
  <si>
    <t>Indian Rupee (₹)</t>
  </si>
  <si>
    <t>Iraq</t>
  </si>
  <si>
    <t>Converted from PricePush IQD 6,300.00 (1308.9700 IQD/USD, PricePush rate)</t>
  </si>
  <si>
    <t>Israel</t>
  </si>
  <si>
    <t>Israeli Shekel (₪)</t>
  </si>
  <si>
    <t>Jordan</t>
  </si>
  <si>
    <t>Converted from PricePush JOD 2.49 (0.7087 JOD/USD, PricePush rate)</t>
  </si>
  <si>
    <t>Kenya</t>
  </si>
  <si>
    <t>Converted from PricePush KSh340.00 (129.5095 KES/USD, PricePush rate)</t>
  </si>
  <si>
    <t>Kuwait</t>
  </si>
  <si>
    <t>Lebanon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</si>
  <si>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</si>
  <si>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</si>
  <si>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</si>
  <si>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</si>
  <si>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</si>
  <si>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</si>
  <si>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</si>
  <si>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</si>
  <si>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Converted from PricePush DH34.49 (9.5896 MAD/USD, PricePush rate)</t>
  </si>
  <si>
    <t>Mozambique</t>
  </si>
  <si>
    <t>Namibia</t>
  </si>
  <si>
    <t>Niger</t>
  </si>
  <si>
    <t>Nigeria</t>
  </si>
  <si>
    <t>Nigerian Naira (₦)</t>
  </si>
  <si>
    <t>Oman</t>
  </si>
  <si>
    <t>Qatar</t>
  </si>
  <si>
    <t>Qatari Riyal (QAR)</t>
  </si>
  <si>
    <t>Rwanda</t>
  </si>
  <si>
    <t>São Tomé and Príncipe</t>
  </si>
  <si>
    <t>Saudi Arabia</t>
  </si>
  <si>
    <t>Saudi Riyal (SAR)</t>
  </si>
  <si>
    <t>Senegal</t>
  </si>
  <si>
    <t>Seychelles</t>
  </si>
  <si>
    <t>Sierra Leone</t>
  </si>
  <si>
    <t>South Africa</t>
  </si>
  <si>
    <t>South African Rand (R)</t>
  </si>
  <si>
    <t>Tanzania</t>
  </si>
  <si>
    <t>Tanzanian Shilling (TSh)</t>
  </si>
  <si>
    <t>Tunisia</t>
  </si>
  <si>
    <t>Uganda</t>
  </si>
  <si>
    <t>United Arab Emirates</t>
  </si>
  <si>
    <t>UAE Dirham (AED)</t>
  </si>
  <si>
    <t>Yemen</t>
  </si>
  <si>
    <t>Zambia</t>
  </si>
  <si>
    <t>Zimbabwe</t>
  </si>
  <si>
    <t>Latin America and the Caribbean (37)</t>
  </si>
  <si>
    <t>Anguilla</t>
  </si>
  <si>
    <t>Antigua and Barbuda</t>
  </si>
  <si>
    <t>Argentina</t>
  </si>
  <si>
    <t>Bahamas</t>
  </si>
  <si>
    <t>Barbados</t>
  </si>
  <si>
    <t>Belize</t>
  </si>
  <si>
    <t>Bermuda</t>
  </si>
  <si>
    <t>Bolivia</t>
  </si>
  <si>
    <t>Converted from PricePush Bs42.49 (11.8398 BOB/USD, PricePush rate)</t>
  </si>
  <si>
    <t>Brazil</t>
  </si>
  <si>
    <t>Brazilian Real (R$)</t>
  </si>
  <si>
    <t>British Virgin Islands</t>
  </si>
  <si>
    <t>Cayman Islands</t>
  </si>
  <si>
    <t>Chile</t>
  </si>
  <si>
    <t>Chilean Peso (CLP$)</t>
  </si>
  <si>
    <t>Colombia</t>
  </si>
  <si>
    <t>Colombian Peso (COL$)</t>
  </si>
  <si>
    <t>Costa Rica</t>
  </si>
  <si>
    <t>Converted from PricePush ₡2,900.00 (453.6296 CRC/USD, PricePush rate)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</si>
  <si>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</si>
  <si>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</si>
  <si>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</si>
  <si>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</si>
  <si>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</si>
  <si>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</si>
  <si>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</si>
  <si>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Honduras</t>
  </si>
  <si>
    <t>Jamaica</t>
  </si>
  <si>
    <t>Mexico</t>
  </si>
  <si>
    <t>Mexican Peso (MX$)</t>
  </si>
  <si>
    <t>Montserrat</t>
  </si>
  <si>
    <t>Nicaragua</t>
  </si>
  <si>
    <t>Panama</t>
  </si>
  <si>
    <t>Paraguay</t>
  </si>
  <si>
    <t>Converted from PricePush ₲28,500.00 (5925.7257 PYG/USD, PricePush rate)</t>
  </si>
  <si>
    <t>Peru</t>
  </si>
  <si>
    <t>Peruvian Sol (S/)</t>
  </si>
  <si>
    <t>St. Kitts and Nevis</t>
  </si>
  <si>
    <t>St. Lucia</t>
  </si>
  <si>
    <t>St. Vincent and the Grenadines</t>
  </si>
  <si>
    <t>Suriname</t>
  </si>
  <si>
    <t>Trinidad and Tobago</t>
  </si>
  <si>
    <t>Turks and Caicos Islands</t>
  </si>
  <si>
    <t>Uruguay</t>
  </si>
  <si>
    <t>Venezuela</t>
  </si>
  <si>
    <t>Asia Pacific (37)</t>
  </si>
  <si>
    <t>Australia</t>
  </si>
  <si>
    <t>Australian Dollar (A$)</t>
  </si>
  <si>
    <t>Bhutan</t>
  </si>
  <si>
    <t>Brunei</t>
  </si>
  <si>
    <t>Cambodia</t>
  </si>
  <si>
    <t>China mainland</t>
  </si>
  <si>
    <t>Chinese Yuan (¥)</t>
  </si>
  <si>
    <t>Converted from PricePush US$5.99 (open.er-api.com: 6.7246 CNY/USD)</t>
  </si>
  <si>
    <t>Fiji</t>
  </si>
  <si>
    <t>Hong Kong</t>
  </si>
  <si>
    <t>Hong Kong Dollar (HK$)</t>
  </si>
  <si>
    <t>Indonesia</t>
  </si>
  <si>
    <t>Indonesian Rupiah (Rp)</t>
  </si>
  <si>
    <t>Japan</t>
  </si>
  <si>
    <t>Japanese Yen (¥)</t>
  </si>
  <si>
    <t>Kazakhstan</t>
  </si>
  <si>
    <t>Kazakhstani Tenge (₸)</t>
  </si>
  <si>
    <t>Korea, Republic of</t>
  </si>
  <si>
    <t>South Korean Won (₩)</t>
  </si>
  <si>
    <t>Kyrgyzstan</t>
  </si>
  <si>
    <t>Laos</t>
  </si>
  <si>
    <t>Macau</t>
  </si>
  <si>
    <t>Converted from PricePush MOP$92.88 (8.0801 MOP/USD, PricePush rate)</t>
  </si>
  <si>
    <t>Malaysia</t>
  </si>
  <si>
    <t>Malaysian Ringgit (RM)</t>
  </si>
  <si>
    <t>Maldives</t>
  </si>
  <si>
    <t>Micronesia</t>
  </si>
  <si>
    <t>Mongolia</t>
  </si>
  <si>
    <t>Converted from PricePush ₮17,160.00 (3578.5896 MNT/USD, PricePush rate)</t>
  </si>
  <si>
    <t>Myanmar</t>
  </si>
  <si>
    <t>Converted from PricePush MMK 5,500.00 (2102.3704 MMK/USD, PricePush rate)</t>
  </si>
  <si>
    <t>Nauru</t>
  </si>
  <si>
    <t>Nepal</t>
  </si>
  <si>
    <t>New Zealand</t>
  </si>
  <si>
    <t>New Zealand Dollar (NZ$)</t>
  </si>
  <si>
    <t>Pakistan</t>
  </si>
  <si>
    <t>Pakistani Rupee (Rs)</t>
  </si>
  <si>
    <t>Palau</t>
  </si>
  <si>
    <t>Papua New Guinea</t>
  </si>
  <si>
    <t>Philippines</t>
  </si>
  <si>
    <t>Philippine Peso (₱)</t>
  </si>
  <si>
    <t>Singapore</t>
  </si>
  <si>
    <t>Singapore Dollar (S$)</t>
  </si>
  <si>
    <t>Solomon Islands</t>
  </si>
  <si>
    <t>Sri Lanka</t>
  </si>
  <si>
    <t>Converted from PricePush ₨1,575.00 (329.9199 LKR/USD, PricePush rate)</t>
  </si>
  <si>
    <t>Taiwan</t>
  </si>
  <si>
    <t>New Taiwan Dollar (NT$)</t>
  </si>
  <si>
    <t>Tajikistan</t>
  </si>
  <si>
    <t>Thailand</t>
  </si>
  <si>
    <t>Thai Baht (฿)</t>
  </si>
  <si>
    <t>Tonga</t>
  </si>
  <si>
    <t>Turkmenistan</t>
  </si>
  <si>
    <t>Uzbekistan</t>
  </si>
  <si>
    <t>Vanuatu</t>
  </si>
  <si>
    <t>Vietnam</t>
  </si>
  <si>
    <t>Vietnamese Dong (₫)</t>
  </si>
  <si>
    <t>How columns are calculated:</t>
  </si>
  <si>
    <t>• Country tax % = Apple price × (1 − 30%) ÷ Apple proceeds − 1, rounded to the nearest 0.5%. Values at or below 0 are shown as 0%.</t>
  </si>
  <si>
    <t>• Final price = PricePush price ÷ (1 − Apple cut) × (1 + tax).</t>
  </si>
  <si>
    <t>• Rounded price = Final price rounded UP to the next local price ending: CEILING(Final + ending, step) − ending. E.g. step 0.5 / ending 0.01 gives .49 or .99; step 10 / ending 1 gives …9.</t>
  </si>
  <si>
    <t>• You receive at rounded price = Rounded ÷ (1 + tax) × (1 − Apple cut). It is always ≥ the PricePush price because rounding goes up.</t>
  </si>
  <si>
    <t>• App Store Connect only accepts Apple's own price points; when entering, pick the nearest available price at or above the rounded price.</t>
  </si>
  <si>
    <t>Sources: Apple prices &amp; proceeds — your App Store Connect screenshots ($9.99 base, 30% cut). PricePush prices &amp; exchange rates — pricepush.app/price-localizer at $9.99 base, 26 Sep 2026. USD→CNY 6.7246 — open.er-api.com, 26 Sep 2026.</t>
  </si>
  <si>
    <t>Google Play PPP Pricing — Final Price Calculator</t>
  </si>
  <si>
    <t>Final price = PricePush price (what you receive) ÷ (1 − Google fee) × (1 + Google tax). Tax is Google's own rate; 'No VAT' = 0%.</t>
  </si>
  <si>
    <t>Google service fee</t>
  </si>
  <si>
    <t>← 15% applies to your first $1M/year if enrolled in Play Console's 15% service fee tier; otherwise use 30%.</t>
  </si>
  <si>
    <t>← PricePush grid (pricepush.app/price-localizer) read 26 Sep 2026 at this base.</t>
  </si>
  <si>
    <t>Legend: blue = inputs (Google Play Console draft, PricePush); black = formulas; yellow = settings you can change.</t>
  </si>
  <si>
    <t>Google price (current draft)</t>
  </si>
  <si>
    <t>Google tax %</t>
  </si>
  <si>
    <t>Algerian Dinar (DA)</t>
  </si>
  <si>
    <t>Antigua &amp; Barbuda</t>
  </si>
  <si>
    <t>Aruba</t>
  </si>
  <si>
    <t>Google Play only (not on App Store)</t>
  </si>
  <si>
    <t>Bangladesh</t>
  </si>
  <si>
    <t>Bangladeshi Taka (৳)</t>
  </si>
  <si>
    <t>Bolivian Boliviano (Bs)</t>
  </si>
  <si>
    <t>Bosnia &amp; Herzegovina</t>
  </si>
  <si>
    <t>Central African CFA Franc (FCFA)</t>
  </si>
  <si>
    <t>Central African Republic</t>
  </si>
  <si>
    <t>Comoros</t>
  </si>
  <si>
    <t>Congo - Brazzaville</t>
  </si>
  <si>
    <t>Congo - Kinshasa</t>
  </si>
  <si>
    <t>Costa Rican Colón (₡)</t>
  </si>
  <si>
    <t>Czechia</t>
  </si>
  <si>
    <t>West African CFA Franc (CFA)</t>
  </si>
  <si>
    <t>Djibouti</t>
  </si>
  <si>
    <t>Eritrea</t>
  </si>
  <si>
    <t>Georgian Lari (₾)</t>
  </si>
  <si>
    <t>Ghanaian Cedi (₵)</t>
  </si>
  <si>
    <t>Gibraltar</t>
  </si>
  <si>
    <t>Guinea</t>
  </si>
  <si>
    <t>Haiti</t>
  </si>
  <si>
    <t>Iraqi Dinar (IQD)</t>
  </si>
  <si>
    <t>Jordanian Dinar (JOD)</t>
  </si>
  <si>
    <t>Kenyan Shilling (KSh)</t>
  </si>
  <si>
    <t>Liechtenstein</t>
  </si>
  <si>
    <t>Macao</t>
  </si>
  <si>
    <t>Macanese Pataca (MOP$)</t>
  </si>
  <si>
    <t>Monaco</t>
  </si>
  <si>
    <t>Mongolian Tögrög (₮)</t>
  </si>
  <si>
    <t>Moroccan Dirham (DH)</t>
  </si>
  <si>
    <t>Myanmar (Burma)</t>
  </si>
  <si>
    <t>Myanmar Kyat (MMK)</t>
  </si>
  <si>
    <t>Paraguayan Guaraní (₲)</t>
  </si>
  <si>
    <t>Samoa</t>
  </si>
  <si>
    <t>San Marino</t>
  </si>
  <si>
    <t>Serbian Dinar (RSD)</t>
  </si>
  <si>
    <t>Somalia</t>
  </si>
  <si>
    <t>South Korea</t>
  </si>
  <si>
    <t>Sri Lankan Rupee (Rs)</t>
  </si>
  <si>
    <t>St. Kitts &amp; Nevis</t>
  </si>
  <si>
    <t>Togo</t>
  </si>
  <si>
    <t>Trinidad &amp; Tobago</t>
  </si>
  <si>
    <t>Turks &amp; Caicos Islands</t>
  </si>
  <si>
    <t>Ukrainian Hryvnia (₴)</t>
  </si>
  <si>
    <t>Vatican City</t>
  </si>
  <si>
    <t>New countries / regions (USD)</t>
  </si>
  <si>
    <t>New countries / regions (EUR)</t>
  </si>
  <si>
    <t>• Google tax % = the rate Google Play Console shows for the country ('No VAT' = 0%; where Google shows overrides, the main rate is used).</t>
  </si>
  <si>
    <t>• Final price = PricePush price ÷ (1 − Google fee) × (1 + Google tax).</t>
  </si>
  <si>
    <t>• Rounded price = Final price rounded UP to the next local price ending: CEILING(Final + ending, step) − ending.</t>
  </si>
  <si>
    <t>• You receive at rounded price = Rounded ÷ (1 + tax) × (1 − Google fee).</t>
  </si>
  <si>
    <t>• India shows 'No VAT' on Google: GST on sales to Indian buyers may be your own responsibility — confirm with your CA.</t>
  </si>
  <si>
    <t>Sources: Google prices &amp; tax — your Play Console screenshots (MoneyBoss Home Lifetime draft, 27 Sep 2026). PricePush prices — pricepush.app/price-localizer at $9.99 base, 26 Sep 2026.</t>
  </si>
  <si>
    <t>App Store vs Google Play — Current Lifetime Prices</t>
  </si>
  <si>
    <t>Red rows: currency or price differs between stores. Grey rows: sold on only one store. Status updates automatically when you edit prices.</t>
  </si>
  <si>
    <t>Sources: App Store — Current_Price_Manually_Adjusted.csv; Google Play — Play Console screenshots, 27 Sep 2026.</t>
  </si>
  <si>
    <t>App Store currency</t>
  </si>
  <si>
    <t>App Store price</t>
  </si>
  <si>
    <t>Google Play currency</t>
  </si>
  <si>
    <t>Google Play price</t>
  </si>
  <si>
    <t>Status</t>
  </si>
  <si>
    <t>USD</t>
  </si>
  <si>
    <t>DZD</t>
  </si>
  <si>
    <t>AUD</t>
  </si>
  <si>
    <t>EUR</t>
  </si>
  <si>
    <t>BDT</t>
  </si>
  <si>
    <t>BOB</t>
  </si>
  <si>
    <t>BRL</t>
  </si>
  <si>
    <t>XAF</t>
  </si>
  <si>
    <t>CAD</t>
  </si>
  <si>
    <t>CLP</t>
  </si>
  <si>
    <t>COP</t>
  </si>
  <si>
    <t>CRC</t>
  </si>
  <si>
    <t>CZK</t>
  </si>
  <si>
    <t>XOF</t>
  </si>
  <si>
    <t>DKK</t>
  </si>
  <si>
    <t>EGP</t>
  </si>
  <si>
    <t>GEL</t>
  </si>
  <si>
    <t>GHS</t>
  </si>
  <si>
    <t>GBP</t>
  </si>
  <si>
    <t>HKD</t>
  </si>
  <si>
    <t>HUF</t>
  </si>
  <si>
    <t>INR</t>
  </si>
  <si>
    <t>IDR</t>
  </si>
  <si>
    <t>IQD</t>
  </si>
  <si>
    <t>ILS</t>
  </si>
  <si>
    <t>JPY</t>
  </si>
  <si>
    <t>JOD</t>
  </si>
  <si>
    <t>KZT</t>
  </si>
  <si>
    <t>KES</t>
  </si>
  <si>
    <t>CHF</t>
  </si>
  <si>
    <t>MOP</t>
  </si>
  <si>
    <t>MYR</t>
  </si>
  <si>
    <t>MXN</t>
  </si>
  <si>
    <t>App Store MXN 49 looks like a typo — plan was ~MX$149–159</t>
  </si>
  <si>
    <t>MNT</t>
  </si>
  <si>
    <t>MAD</t>
  </si>
  <si>
    <t>MMK</t>
  </si>
  <si>
    <t>NZD</t>
  </si>
  <si>
    <t>NGN</t>
  </si>
  <si>
    <t>NOK</t>
  </si>
  <si>
    <t>PKR</t>
  </si>
  <si>
    <t>PYG</t>
  </si>
  <si>
    <t>PEN</t>
  </si>
  <si>
    <t>PHP</t>
  </si>
  <si>
    <t>PLN</t>
  </si>
  <si>
    <t>QAR</t>
  </si>
  <si>
    <t>RON</t>
  </si>
  <si>
    <t>RUB</t>
  </si>
  <si>
    <t>SAR</t>
  </si>
  <si>
    <t>RSD</t>
  </si>
  <si>
    <t>SGD</t>
  </si>
  <si>
    <t>ZAR</t>
  </si>
  <si>
    <t>KRW</t>
  </si>
  <si>
    <t>LKR</t>
  </si>
  <si>
    <t>SEK</t>
  </si>
  <si>
    <t>TWD</t>
  </si>
  <si>
    <t>TZS</t>
  </si>
  <si>
    <t>THB</t>
  </si>
  <si>
    <t>TRY</t>
  </si>
  <si>
    <t>UAH</t>
  </si>
  <si>
    <t>AED</t>
  </si>
  <si>
    <t>VND</t>
  </si>
  <si>
    <t>Collapsed in screenshot — Google price not shown</t>
  </si>
  <si>
    <t>App Store only</t>
  </si>
  <si>
    <t>CNY</t>
  </si>
  <si>
    <t>Summary</t>
  </si>
  <si>
    <t>Match</t>
  </si>
  <si>
    <t>Price differs</t>
  </si>
  <si>
    <t>Currency differs</t>
  </si>
  <si>
    <t>Not on App Store</t>
  </si>
  <si>
    <t>Not on Google Play</t>
  </si>
  <si>
    <t>Price not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</si>
</sst>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164" formatCode="\$0.00"/>
    <numFmt numFmtId="165" formatCode="\$#,##0.00"/>
    <numFmt numFmtId="166" formatCode="0.0%"/>
    <numFmt numFmtId="167" formatCode="#,##0.##"/>
    <numFmt numFmtId="168" formatCode="&quot;C$&quot;#,##0.00"/>
    <numFmt numFmtId="169" formatCode="\€#,##0.00"/>
    <numFmt numFmtId="170" formatCode="&quot;Kč&quot;#,##0"/>
    <numFmt numFmtId="171" formatCode="&quot;kr &quot;#,##0"/>
    <numFmt numFmtId="172" formatCode="&quot;Ft&quot;#,##0"/>
    <numFmt numFmtId="173" formatCode="&quot;zł&quot;#,##0.00"/>
    <numFmt numFmtId="174" formatCode="&quot;lei &quot;#,##0.00"/>
    <numFmt numFmtId="175" formatCode="\₽#,##0"/>
    <numFmt numFmtId="176" formatCode="&quot;CHF &quot;#,##0.00"/>
    <numFmt numFmtId="177" formatCode="\₺#,##0.00"/>
    <numFmt numFmtId="178" formatCode="\£#,##0.00"/>
    <numFmt numFmtId="179" formatCode="&quot;E£&quot;#,##0.00"/>
    <numFmt numFmtId="180" formatCode="\₹#,##0"/>
    <numFmt numFmtId="181" formatCode="\₪#,##0.00"/>
    <numFmt numFmtId="182" formatCode="\₦#,##0"/>
    <numFmt numFmtId="183" formatCode="&quot;QAR &quot;#,##0.00"/>
    <numFmt numFmtId="184" formatCode="&quot;SAR &quot;#,##0.00"/>
    <numFmt numFmtId="185" formatCode="\R#,##0.00"/>
    <numFmt numFmtId="186" formatCode="&quot;TSh&quot;#,##0"/>
    <numFmt numFmtId="187" formatCode="&quot;AED &quot;#,##0.00"/>
    <numFmt numFmtId="188" formatCode="&quot;R$&quot;#,##0.00"/>
    <numFmt numFmtId="189" formatCode="&quot;CLP$&quot;#,##0"/>
    <numFmt numFmtId="190" formatCode="&quot;COL$&quot;#,##0"/>
    <numFmt numFmtId="191" formatCode="&quot;MX$&quot;#,##0"/>
    <numFmt numFmtId="192" formatCode="&quot;S/&quot;#,##0.00"/>
    <numFmt numFmtId="193" formatCode="&quot;A$&quot;#,##0.00"/>
    <numFmt numFmtId="194" formatCode="\¥#,##0"/>
    <numFmt numFmtId="195" formatCode="&quot;HK$&quot;#,##0"/>
    <numFmt numFmtId="196" formatCode="&quot;Rp&quot;#,##0"/>
    <numFmt numFmtId="197" formatCode="\₸#,##0"/>
    <numFmt numFmtId="198" formatCode="\₩#,##0"/>
    <numFmt numFmtId="199" formatCode="&quot;RM&quot;#,##0.00"/>
    <numFmt numFmtId="200" formatCode="&quot;NZ$&quot;#,##0.00"/>
    <numFmt numFmtId="201" formatCode="&quot;Rs&quot;#,##0"/>
    <numFmt numFmtId="202" formatCode="\₱#,##0"/>
    <numFmt numFmtId="203" formatCode="&quot;S$&quot;#,##0.00"/>
    <numFmt numFmtId="204" formatCode="&quot;NT$&quot;#,##0"/>
    <numFmt numFmtId="205" formatCode="\฿#,##0"/>
    <numFmt numFmtId="206" formatCode="\₫#,##0"/>
    <numFmt numFmtId="207" formatCode="0.0%;\-0.0%;&quot;No VAT&quot;"/>
    <numFmt numFmtId="208" formatCode="&quot;DA&quot;#,##0"/>
    <numFmt numFmtId="209" formatCode="\৳#,##0"/>
    <numFmt numFmtId="210" formatCode="&quot;Bs&quot;#,##0.00"/>
    <numFmt numFmtId="211" formatCode="&quot;FCFA&quot;#,##0"/>
    <numFmt numFmtId="212" formatCode="\₡#,##0"/>
    <numFmt numFmtId="213" formatCode="&quot;CFA&quot;#,##0"/>
    <numFmt numFmtId="214" formatCode="\₾#,##0.00"/>
    <numFmt numFmtId="215" formatCode="\₵#,##0.00"/>
    <numFmt numFmtId="216" formatCode="&quot;HK$&quot;#,##0.00"/>
    <numFmt numFmtId="217" formatCode="&quot;IQD &quot;#,##0"/>
    <numFmt numFmtId="218" formatCode="&quot;JOD &quot;#,##0.00"/>
    <numFmt numFmtId="219" formatCode="&quot;KSh&quot;#,##0"/>
    <numFmt numFmtId="220" formatCode="&quot;MOP$&quot;#,##0.00"/>
    <numFmt numFmtId="221" formatCode="\₮#,##0"/>
    <numFmt numFmtId="222" formatCode="&quot;DH&quot;#,##0.00"/>
    <numFmt numFmtId="223" formatCode="&quot;MMK &quot;#,##0"/>
    <numFmt numFmtId="224" formatCode="\₲#,##0"/>
    <numFmt numFmtId="225" formatCode="&quot;RSD &quot;#,##0"/>
    <numFmt numFmtId="226" formatCode="\₴#,##0.00"/>
  </numFmts>
  <fonts count="1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9"/>
      <color rgb="FF555555"/>
      <name val="Arial"/>
      <charset val="1"/>
    </font>
    <font>
      <b/>
      <sz val="9"/>
      <color rgb="FF333333"/>
      <name val="Arial"/>
      <charset val="1"/>
    </font>
    <font>
      <sz val="9"/>
      <color rgb="FF333333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F4F"/>
      </patternFill>
    </fill>
    <fill>
      <patternFill patternType="solid">
        <fgColor rgb="FFD9E1F2"/>
        <bgColor rgb="FFD9D9D9"/>
      </patternFill>
    </fill>
    <fill>
      <patternFill patternType="solid">
        <fgColor rgb="FF1E6B3A"/>
        <bgColor rgb="FF008080"/>
      </patternFill>
    </fill>
    <fill>
      <patternFill patternType="solid">
        <fgColor rgb="FF333F4F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9" fontId="4" fillId="2" borderId="0" xfId="0" applyNumberFormat="1" applyFont="1" applyFill="1" applyAlignment="1"/>
    <xf numFmtId="0" fontId="5" fillId="0" borderId="0" xfId="0" applyFont="1" applyAlignment="1"/>
    <xf numFmtId="164" fontId="4" fillId="2" borderId="0" xfId="0" applyNumberFormat="1" applyFont="1" applyFill="1" applyAlignment="1"/>
    <xf numFmtId="0" fontId="6" fillId="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/>
    <xf numFmtId="165" fontId="9" fillId="0" borderId="1" xfId="0" applyNumberFormat="1" applyFont="1" applyBorder="1" applyAlignment="1"/>
    <xf numFmtId="166" fontId="8" fillId="0" borderId="1" xfId="0" applyNumberFormat="1" applyFont="1" applyBorder="1" applyAlignment="1"/>
    <xf numFmtId="165" fontId="8" fillId="0" borderId="1" xfId="0" applyNumberFormat="1" applyFont="1" applyBorder="1" applyAlignment="1"/>
    <xf numFmtId="165" fontId="3" fillId="0" borderId="1" xfId="0" applyNumberFormat="1" applyFont="1" applyBorder="1" applyAlignment="1"/>
    <xf numFmtId="167" fontId="9" fillId="0" borderId="1" xfId="0" applyNumberFormat="1" applyFont="1" applyBorder="1" applyAlignment="1"/>
    <xf numFmtId="4" fontId="9" fillId="0" borderId="1" xfId="0" applyNumberFormat="1" applyFont="1" applyBorder="1" applyAlignment="1"/>
    <xf numFmtId="0" fontId="10" fillId="0" borderId="1" xfId="0" applyFont="1" applyBorder="1" applyAlignment="1"/>
    <xf numFmtId="168" fontId="9" fillId="0" borderId="1" xfId="0" applyNumberFormat="1" applyFont="1" applyBorder="1" applyAlignment="1"/>
    <xf numFmtId="168" fontId="8" fillId="0" borderId="1" xfId="0" applyNumberFormat="1" applyFont="1" applyBorder="1" applyAlignment="1"/>
    <xf numFmtId="168" fontId="3" fillId="0" borderId="1" xfId="0" applyNumberFormat="1" applyFont="1" applyBorder="1" applyAlignment="1"/>
    <xf numFmtId="169" fontId="9" fillId="0" borderId="1" xfId="0" applyNumberFormat="1" applyFont="1" applyBorder="1" applyAlignment="1"/>
    <xf numFmtId="169" fontId="8" fillId="0" borderId="1" xfId="0" applyNumberFormat="1" applyFont="1" applyBorder="1" applyAlignment="1"/>
    <xf numFmtId="169" fontId="3" fillId="0" borderId="1" xfId="0" applyNumberFormat="1" applyFont="1" applyBorder="1" applyAlignment="1"/>
    <xf numFmtId="170" fontId="9" fillId="0" borderId="1" xfId="0" applyNumberFormat="1" applyFont="1" applyBorder="1" applyAlignment="1"/>
    <xf numFmtId="170" fontId="8" fillId="0" borderId="1" xfId="0" applyNumberFormat="1" applyFont="1" applyBorder="1" applyAlignment="1"/>
    <xf numFmtId="170" fontId="3" fillId="0" borderId="1" xfId="0" applyNumberFormat="1" applyFont="1" applyBorder="1" applyAlignment="1"/>
    <xf numFmtId="171" fontId="9" fillId="0" borderId="1" xfId="0" applyNumberFormat="1" applyFont="1" applyBorder="1" applyAlignment="1"/>
    <xf numFmtId="171" fontId="8" fillId="0" borderId="1" xfId="0" applyNumberFormat="1" applyFont="1" applyBorder="1" applyAlignment="1"/>
    <xf numFmtId="171" fontId="3" fillId="0" borderId="1" xfId="0" applyNumberFormat="1" applyFont="1" applyBorder="1" applyAlignment="1"/>
    <xf numFmtId="172" fontId="9" fillId="0" borderId="1" xfId="0" applyNumberFormat="1" applyFont="1" applyBorder="1" applyAlignment="1"/>
    <xf numFmtId="172" fontId="8" fillId="0" borderId="1" xfId="0" applyNumberFormat="1" applyFont="1" applyBorder="1" applyAlignment="1"/>
    <xf numFmtId="172" fontId="3" fillId="0" borderId="1" xfId="0" applyNumberFormat="1" applyFont="1" applyBorder="1" applyAlignment="1"/>
    <xf numFmtId="173" fontId="9" fillId="0" borderId="1" xfId="0" applyNumberFormat="1" applyFont="1" applyBorder="1" applyAlignment="1"/>
    <xf numFmtId="173" fontId="8" fillId="0" borderId="1" xfId="0" applyNumberFormat="1" applyFont="1" applyBorder="1" applyAlignment="1"/>
    <xf numFmtId="173" fontId="3" fillId="0" borderId="1" xfId="0" applyNumberFormat="1" applyFont="1" applyBorder="1" applyAlignment="1"/>
    <xf numFmtId="174" fontId="9" fillId="0" borderId="1" xfId="0" applyNumberFormat="1" applyFont="1" applyBorder="1" applyAlignment="1"/>
    <xf numFmtId="174" fontId="8" fillId="0" borderId="1" xfId="0" applyNumberFormat="1" applyFont="1" applyBorder="1" applyAlignment="1"/>
    <xf numFmtId="174" fontId="3" fillId="0" borderId="1" xfId="0" applyNumberFormat="1" applyFont="1" applyBorder="1" applyAlignment="1"/>
    <xf numFmtId="175" fontId="9" fillId="0" borderId="1" xfId="0" applyNumberFormat="1" applyFont="1" applyBorder="1" applyAlignment="1"/>
    <xf numFmtId="175" fontId="8" fillId="0" borderId="1" xfId="0" applyNumberFormat="1" applyFont="1" applyBorder="1" applyAlignment="1"/>
    <xf numFmtId="175" fontId="3" fillId="0" borderId="1" xfId="0" applyNumberFormat="1" applyFont="1" applyBorder="1" applyAlignment="1"/>
    <xf numFmtId="176" fontId="9" fillId="0" borderId="1" xfId="0" applyNumberFormat="1" applyFont="1" applyBorder="1" applyAlignment="1"/>
    <xf numFmtId="176" fontId="8" fillId="0" borderId="1" xfId="0" applyNumberFormat="1" applyFont="1" applyBorder="1" applyAlignment="1"/>
    <xf numFmtId="176" fontId="3" fillId="0" borderId="1" xfId="0" applyNumberFormat="1" applyFont="1" applyBorder="1" applyAlignment="1"/>
    <xf numFmtId="177" fontId="9" fillId="0" borderId="1" xfId="0" applyNumberFormat="1" applyFont="1" applyBorder="1" applyAlignment="1"/>
    <xf numFmtId="177" fontId="8" fillId="0" borderId="1" xfId="0" applyNumberFormat="1" applyFont="1" applyBorder="1" applyAlignment="1"/>
    <xf numFmtId="177" fontId="3" fillId="0" borderId="1" xfId="0" applyNumberFormat="1" applyFont="1" applyBorder="1" applyAlignment="1"/>
    <xf numFmtId="178" fontId="9" fillId="0" borderId="1" xfId="0" applyNumberFormat="1" applyFont="1" applyBorder="1" applyAlignment="1"/>
    <xf numFmtId="178" fontId="8" fillId="0" borderId="1" xfId="0" applyNumberFormat="1" applyFont="1" applyBorder="1" applyAlignment="1"/>
    <xf numFmtId="178" fontId="3" fillId="0" borderId="1" xfId="0" applyNumberFormat="1" applyFont="1" applyBorder="1" applyAlignment="1"/>
    <xf numFmtId="179" fontId="9" fillId="0" borderId="1" xfId="0" applyNumberFormat="1" applyFont="1" applyBorder="1" applyAlignment="1"/>
    <xf numFmtId="179" fontId="8" fillId="0" borderId="1" xfId="0" applyNumberFormat="1" applyFont="1" applyBorder="1" applyAlignment="1"/>
    <xf numFmtId="179" fontId="3" fillId="0" borderId="1" xfId="0" applyNumberFormat="1" applyFont="1" applyBorder="1" applyAlignment="1"/>
    <xf numFmtId="180" fontId="9" fillId="0" borderId="1" xfId="0" applyNumberFormat="1" applyFont="1" applyBorder="1" applyAlignment="1"/>
    <xf numFmtId="180" fontId="8" fillId="0" borderId="1" xfId="0" applyNumberFormat="1" applyFont="1" applyBorder="1" applyAlignment="1"/>
    <xf numFmtId="180" fontId="3" fillId="0" borderId="1" xfId="0" applyNumberFormat="1" applyFont="1" applyBorder="1" applyAlignment="1"/>
    <xf numFmtId="181" fontId="9" fillId="0" borderId="1" xfId="0" applyNumberFormat="1" applyFont="1" applyBorder="1" applyAlignment="1"/>
    <xf numFmtId="181" fontId="8" fillId="0" borderId="1" xfId="0" applyNumberFormat="1" applyFont="1" applyBorder="1" applyAlignment="1"/>
    <xf numFmtId="181" fontId="3" fillId="0" borderId="1" xfId="0" applyNumberFormat="1" applyFont="1" applyBorder="1" applyAlignment="1"/>
    <xf numFmtId="182" fontId="9" fillId="0" borderId="1" xfId="0" applyNumberFormat="1" applyFont="1" applyBorder="1" applyAlignment="1"/>
    <xf numFmtId="182" fontId="8" fillId="0" borderId="1" xfId="0" applyNumberFormat="1" applyFont="1" applyBorder="1" applyAlignment="1"/>
    <xf numFmtId="182" fontId="3" fillId="0" borderId="1" xfId="0" applyNumberFormat="1" applyFont="1" applyBorder="1" applyAlignment="1"/>
    <xf numFmtId="183" fontId="9" fillId="0" borderId="1" xfId="0" applyNumberFormat="1" applyFont="1" applyBorder="1" applyAlignment="1"/>
    <xf numFmtId="183" fontId="8" fillId="0" borderId="1" xfId="0" applyNumberFormat="1" applyFont="1" applyBorder="1" applyAlignment="1"/>
    <xf numFmtId="183" fontId="3" fillId="0" borderId="1" xfId="0" applyNumberFormat="1" applyFont="1" applyBorder="1" applyAlignment="1"/>
    <xf numFmtId="184" fontId="9" fillId="0" borderId="1" xfId="0" applyNumberFormat="1" applyFont="1" applyBorder="1" applyAlignment="1"/>
    <xf numFmtId="184" fontId="8" fillId="0" borderId="1" xfId="0" applyNumberFormat="1" applyFont="1" applyBorder="1" applyAlignment="1"/>
    <xf numFmtId="184" fontId="3" fillId="0" borderId="1" xfId="0" applyNumberFormat="1" applyFont="1" applyBorder="1" applyAlignment="1"/>
    <xf numFmtId="185" fontId="9" fillId="0" borderId="1" xfId="0" applyNumberFormat="1" applyFont="1" applyBorder="1" applyAlignment="1"/>
    <xf numFmtId="185" fontId="8" fillId="0" borderId="1" xfId="0" applyNumberFormat="1" applyFont="1" applyBorder="1" applyAlignment="1"/>
    <xf numFmtId="185" fontId="3" fillId="0" borderId="1" xfId="0" applyNumberFormat="1" applyFont="1" applyBorder="1" applyAlignment="1"/>
    <xf numFmtId="186" fontId="9" fillId="0" borderId="1" xfId="0" applyNumberFormat="1" applyFont="1" applyBorder="1" applyAlignment="1"/>
    <xf numFmtId="186" fontId="8" fillId="0" borderId="1" xfId="0" applyNumberFormat="1" applyFont="1" applyBorder="1" applyAlignment="1"/>
    <xf numFmtId="186" fontId="3" fillId="0" borderId="1" xfId="0" applyNumberFormat="1" applyFont="1" applyBorder="1" applyAlignment="1"/>
    <xf numFmtId="187" fontId="9" fillId="0" borderId="1" xfId="0" applyNumberFormat="1" applyFont="1" applyBorder="1" applyAlignment="1"/>
    <xf numFmtId="187" fontId="8" fillId="0" borderId="1" xfId="0" applyNumberFormat="1" applyFont="1" applyBorder="1" applyAlignment="1"/>
    <xf numFmtId="187" fontId="3" fillId="0" borderId="1" xfId="0" applyNumberFormat="1" applyFont="1" applyBorder="1" applyAlignment="1"/>
    <xf numFmtId="188" fontId="9" fillId="0" borderId="1" xfId="0" applyNumberFormat="1" applyFont="1" applyBorder="1" applyAlignment="1"/>
    <xf numFmtId="188" fontId="8" fillId="0" borderId="1" xfId="0" applyNumberFormat="1" applyFont="1" applyBorder="1" applyAlignment="1"/>
    <xf numFmtId="188" fontId="3" fillId="0" borderId="1" xfId="0" applyNumberFormat="1" applyFont="1" applyBorder="1" applyAlignment="1"/>
    <xf numFmtId="189" fontId="9" fillId="0" borderId="1" xfId="0" applyNumberFormat="1" applyFont="1" applyBorder="1" applyAlignment="1"/>
    <xf numFmtId="189" fontId="8" fillId="0" borderId="1" xfId="0" applyNumberFormat="1" applyFont="1" applyBorder="1" applyAlignment="1"/>
    <xf numFmtId="189" fontId="3" fillId="0" borderId="1" xfId="0" applyNumberFormat="1" applyFont="1" applyBorder="1" applyAlignment="1"/>
    <xf numFmtId="190" fontId="9" fillId="0" borderId="1" xfId="0" applyNumberFormat="1" applyFont="1" applyBorder="1" applyAlignment="1"/>
    <xf numFmtId="190" fontId="8" fillId="0" borderId="1" xfId="0" applyNumberFormat="1" applyFont="1" applyBorder="1" applyAlignment="1"/>
    <xf numFmtId="190" fontId="3" fillId="0" borderId="1" xfId="0" applyNumberFormat="1" applyFont="1" applyBorder="1" applyAlignment="1"/>
    <xf numFmtId="191" fontId="9" fillId="0" borderId="1" xfId="0" applyNumberFormat="1" applyFont="1" applyBorder="1" applyAlignment="1"/>
    <xf numFmtId="191" fontId="8" fillId="0" borderId="1" xfId="0" applyNumberFormat="1" applyFont="1" applyBorder="1" applyAlignment="1"/>
    <xf numFmtId="191" fontId="3" fillId="0" borderId="1" xfId="0" applyNumberFormat="1" applyFont="1" applyBorder="1" applyAlignment="1"/>
    <xf numFmtId="192" fontId="9" fillId="0" borderId="1" xfId="0" applyNumberFormat="1" applyFont="1" applyBorder="1" applyAlignment="1"/>
    <xf numFmtId="192" fontId="8" fillId="0" borderId="1" xfId="0" applyNumberFormat="1" applyFont="1" applyBorder="1" applyAlignment="1"/>
    <xf numFmtId="192" fontId="3" fillId="0" borderId="1" xfId="0" applyNumberFormat="1" applyFont="1" applyBorder="1" applyAlignment="1"/>
    <xf numFmtId="193" fontId="9" fillId="0" borderId="1" xfId="0" applyNumberFormat="1" applyFont="1" applyBorder="1" applyAlignment="1"/>
    <xf numFmtId="193" fontId="8" fillId="0" borderId="1" xfId="0" applyNumberFormat="1" applyFont="1" applyBorder="1" applyAlignment="1"/>
    <xf numFmtId="193" fontId="3" fillId="0" borderId="1" xfId="0" applyNumberFormat="1" applyFont="1" applyBorder="1" applyAlignment="1"/>
    <xf numFmtId="194" fontId="9" fillId="0" borderId="1" xfId="0" applyNumberFormat="1" applyFont="1" applyBorder="1" applyAlignment="1"/>
    <xf numFmtId="194" fontId="8" fillId="0" borderId="1" xfId="0" applyNumberFormat="1" applyFont="1" applyBorder="1" applyAlignment="1"/>
    <xf numFmtId="194" fontId="3" fillId="0" borderId="1" xfId="0" applyNumberFormat="1" applyFont="1" applyBorder="1" applyAlignment="1"/>
    <xf numFmtId="195" fontId="9" fillId="0" borderId="1" xfId="0" applyNumberFormat="1" applyFont="1" applyBorder="1" applyAlignment="1"/>
    <xf numFmtId="195" fontId="8" fillId="0" borderId="1" xfId="0" applyNumberFormat="1" applyFont="1" applyBorder="1" applyAlignment="1"/>
    <xf numFmtId="195" fontId="3" fillId="0" borderId="1" xfId="0" applyNumberFormat="1" applyFont="1" applyBorder="1" applyAlignment="1"/>
    <xf numFmtId="196" fontId="9" fillId="0" borderId="1" xfId="0" applyNumberFormat="1" applyFont="1" applyBorder="1" applyAlignment="1"/>
    <xf numFmtId="196" fontId="8" fillId="0" borderId="1" xfId="0" applyNumberFormat="1" applyFont="1" applyBorder="1" applyAlignment="1"/>
    <xf numFmtId="196" fontId="3" fillId="0" borderId="1" xfId="0" applyNumberFormat="1" applyFont="1" applyBorder="1" applyAlignment="1"/>
    <xf numFmtId="197" fontId="9" fillId="0" borderId="1" xfId="0" applyNumberFormat="1" applyFont="1" applyBorder="1" applyAlignment="1"/>
    <xf numFmtId="197" fontId="8" fillId="0" borderId="1" xfId="0" applyNumberFormat="1" applyFont="1" applyBorder="1" applyAlignment="1"/>
    <xf numFmtId="197" fontId="3" fillId="0" borderId="1" xfId="0" applyNumberFormat="1" applyFont="1" applyBorder="1" applyAlignment="1"/>
    <xf numFmtId="198" fontId="9" fillId="0" borderId="1" xfId="0" applyNumberFormat="1" applyFont="1" applyBorder="1" applyAlignment="1"/>
    <xf numFmtId="198" fontId="8" fillId="0" borderId="1" xfId="0" applyNumberFormat="1" applyFont="1" applyBorder="1" applyAlignment="1"/>
    <xf numFmtId="198" fontId="3" fillId="0" borderId="1" xfId="0" applyNumberFormat="1" applyFont="1" applyBorder="1" applyAlignment="1"/>
    <xf numFmtId="199" fontId="9" fillId="0" borderId="1" xfId="0" applyNumberFormat="1" applyFont="1" applyBorder="1" applyAlignment="1"/>
    <xf numFmtId="199" fontId="8" fillId="0" borderId="1" xfId="0" applyNumberFormat="1" applyFont="1" applyBorder="1" applyAlignment="1"/>
    <xf numFmtId="199" fontId="3" fillId="0" borderId="1" xfId="0" applyNumberFormat="1" applyFont="1" applyBorder="1" applyAlignment="1"/>
    <xf numFmtId="200" fontId="9" fillId="0" borderId="1" xfId="0" applyNumberFormat="1" applyFont="1" applyBorder="1" applyAlignment="1"/>
    <xf numFmtId="200" fontId="8" fillId="0" borderId="1" xfId="0" applyNumberFormat="1" applyFont="1" applyBorder="1" applyAlignment="1"/>
    <xf numFmtId="200" fontId="3" fillId="0" borderId="1" xfId="0" applyNumberFormat="1" applyFont="1" applyBorder="1" applyAlignment="1"/>
    <xf numFmtId="201" fontId="9" fillId="0" borderId="1" xfId="0" applyNumberFormat="1" applyFont="1" applyBorder="1" applyAlignment="1"/>
    <xf numFmtId="201" fontId="8" fillId="0" borderId="1" xfId="0" applyNumberFormat="1" applyFont="1" applyBorder="1" applyAlignment="1"/>
    <xf numFmtId="201" fontId="3" fillId="0" borderId="1" xfId="0" applyNumberFormat="1" applyFont="1" applyBorder="1" applyAlignment="1"/>
    <xf numFmtId="202" fontId="9" fillId="0" borderId="1" xfId="0" applyNumberFormat="1" applyFont="1" applyBorder="1" applyAlignment="1"/>
    <xf numFmtId="202" fontId="8" fillId="0" borderId="1" xfId="0" applyNumberFormat="1" applyFont="1" applyBorder="1" applyAlignment="1"/>
    <xf numFmtId="202" fontId="3" fillId="0" borderId="1" xfId="0" applyNumberFormat="1" applyFont="1" applyBorder="1" applyAlignment="1"/>
    <xf numFmtId="203" fontId="9" fillId="0" borderId="1" xfId="0" applyNumberFormat="1" applyFont="1" applyBorder="1" applyAlignment="1"/>
    <xf numFmtId="203" fontId="8" fillId="0" borderId="1" xfId="0" applyNumberFormat="1" applyFont="1" applyBorder="1" applyAlignment="1"/>
    <xf numFmtId="203" fontId="3" fillId="0" borderId="1" xfId="0" applyNumberFormat="1" applyFont="1" applyBorder="1" applyAlignment="1"/>
    <xf numFmtId="204" fontId="9" fillId="0" borderId="1" xfId="0" applyNumberFormat="1" applyFont="1" applyBorder="1" applyAlignment="1"/>
    <xf numFmtId="204" fontId="8" fillId="0" borderId="1" xfId="0" applyNumberFormat="1" applyFont="1" applyBorder="1" applyAlignment="1"/>
    <xf numFmtId="204" fontId="3" fillId="0" borderId="1" xfId="0" applyNumberFormat="1" applyFont="1" applyBorder="1" applyAlignment="1"/>
    <xf numFmtId="205" fontId="9" fillId="0" borderId="1" xfId="0" applyNumberFormat="1" applyFont="1" applyBorder="1" applyAlignment="1"/>
    <xf numFmtId="205" fontId="8" fillId="0" borderId="1" xfId="0" applyNumberFormat="1" applyFont="1" applyBorder="1" applyAlignment="1"/>
    <xf numFmtId="205" fontId="3" fillId="0" borderId="1" xfId="0" applyNumberFormat="1" applyFont="1" applyBorder="1" applyAlignment="1"/>
    <xf numFmtId="206" fontId="9" fillId="0" borderId="1" xfId="0" applyNumberFormat="1" applyFont="1" applyBorder="1" applyAlignment="1"/>
    <xf numFmtId="206" fontId="8" fillId="0" borderId="1" xfId="0" applyNumberFormat="1" applyFont="1" applyBorder="1" applyAlignment="1"/>
    <xf numFmtId="206" fontId="3" fillId="0" borderId="1" xfId="0" applyNumberFormat="1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6" fillId="5" borderId="0" xfId="0" applyFont="1" applyFill="1" applyAlignment="1">
      <alignment horizontal="center" vertical="center" wrapText="1"/>
    </xf>
    <xf numFmtId="207" fontId="9" fillId="0" borderId="1" xfId="0" applyNumberFormat="1" applyFont="1" applyBorder="1" applyAlignment="1"/>
    <xf numFmtId="0" fontId="9" fillId="0" borderId="1" xfId="0" applyFont="1" applyBorder="1" applyAlignment="1"/>
    <xf numFmtId="208" fontId="9" fillId="0" borderId="1" xfId="0" applyNumberFormat="1" applyFont="1" applyBorder="1" applyAlignment="1"/>
    <xf numFmtId="208" fontId="8" fillId="0" borderId="1" xfId="0" applyNumberFormat="1" applyFont="1" applyBorder="1" applyAlignment="1"/>
    <xf numFmtId="208" fontId="3" fillId="0" borderId="1" xfId="0" applyNumberFormat="1" applyFont="1" applyBorder="1" applyAlignment="1"/>
    <xf numFmtId="209" fontId="9" fillId="0" borderId="1" xfId="0" applyNumberFormat="1" applyFont="1" applyBorder="1" applyAlignment="1"/>
    <xf numFmtId="209" fontId="8" fillId="0" borderId="1" xfId="0" applyNumberFormat="1" applyFont="1" applyBorder="1" applyAlignment="1"/>
    <xf numFmtId="209" fontId="3" fillId="0" borderId="1" xfId="0" applyNumberFormat="1" applyFont="1" applyBorder="1" applyAlignment="1"/>
    <xf numFmtId="210" fontId="9" fillId="0" borderId="1" xfId="0" applyNumberFormat="1" applyFont="1" applyBorder="1" applyAlignment="1"/>
    <xf numFmtId="210" fontId="8" fillId="0" borderId="1" xfId="0" applyNumberFormat="1" applyFont="1" applyBorder="1" applyAlignment="1"/>
    <xf numFmtId="210" fontId="3" fillId="0" borderId="1" xfId="0" applyNumberFormat="1" applyFont="1" applyBorder="1" applyAlignment="1"/>
    <xf numFmtId="211" fontId="9" fillId="0" borderId="1" xfId="0" applyNumberFormat="1" applyFont="1" applyBorder="1" applyAlignment="1"/>
    <xf numFmtId="211" fontId="8" fillId="0" borderId="1" xfId="0" applyNumberFormat="1" applyFont="1" applyBorder="1" applyAlignment="1"/>
    <xf numFmtId="211" fontId="3" fillId="0" borderId="1" xfId="0" applyNumberFormat="1" applyFont="1" applyBorder="1" applyAlignment="1"/>
    <xf numFmtId="212" fontId="9" fillId="0" borderId="1" xfId="0" applyNumberFormat="1" applyFont="1" applyBorder="1" applyAlignment="1"/>
    <xf numFmtId="212" fontId="8" fillId="0" borderId="1" xfId="0" applyNumberFormat="1" applyFont="1" applyBorder="1" applyAlignment="1"/>
    <xf numFmtId="212" fontId="3" fillId="0" borderId="1" xfId="0" applyNumberFormat="1" applyFont="1" applyBorder="1" applyAlignment="1"/>
    <xf numFmtId="213" fontId="9" fillId="0" borderId="1" xfId="0" applyNumberFormat="1" applyFont="1" applyBorder="1" applyAlignment="1"/>
    <xf numFmtId="213" fontId="8" fillId="0" borderId="1" xfId="0" applyNumberFormat="1" applyFont="1" applyBorder="1" applyAlignment="1"/>
    <xf numFmtId="213" fontId="3" fillId="0" borderId="1" xfId="0" applyNumberFormat="1" applyFont="1" applyBorder="1" applyAlignment="1"/>
    <xf numFmtId="214" fontId="9" fillId="0" borderId="1" xfId="0" applyNumberFormat="1" applyFont="1" applyBorder="1" applyAlignment="1"/>
    <xf numFmtId="214" fontId="8" fillId="0" borderId="1" xfId="0" applyNumberFormat="1" applyFont="1" applyBorder="1" applyAlignment="1"/>
    <xf numFmtId="214" fontId="3" fillId="0" borderId="1" xfId="0" applyNumberFormat="1" applyFont="1" applyBorder="1" applyAlignment="1"/>
    <xf numFmtId="215" fontId="9" fillId="0" borderId="1" xfId="0" applyNumberFormat="1" applyFont="1" applyBorder="1" applyAlignment="1"/>
    <xf numFmtId="215" fontId="8" fillId="0" borderId="1" xfId="0" applyNumberFormat="1" applyFont="1" applyBorder="1" applyAlignment="1"/>
    <xf numFmtId="215" fontId="3" fillId="0" borderId="1" xfId="0" applyNumberFormat="1" applyFont="1" applyBorder="1" applyAlignment="1"/>
    <xf numFmtId="216" fontId="9" fillId="0" borderId="1" xfId="0" applyNumberFormat="1" applyFont="1" applyBorder="1" applyAlignment="1"/>
    <xf numFmtId="216" fontId="8" fillId="0" borderId="1" xfId="0" applyNumberFormat="1" applyFont="1" applyBorder="1" applyAlignment="1"/>
    <xf numFmtId="216" fontId="3" fillId="0" borderId="1" xfId="0" applyNumberFormat="1" applyFont="1" applyBorder="1" applyAlignment="1"/>
    <xf numFmtId="217" fontId="9" fillId="0" borderId="1" xfId="0" applyNumberFormat="1" applyFont="1" applyBorder="1" applyAlignment="1"/>
    <xf numFmtId="217" fontId="8" fillId="0" borderId="1" xfId="0" applyNumberFormat="1" applyFont="1" applyBorder="1" applyAlignment="1"/>
    <xf numFmtId="217" fontId="3" fillId="0" borderId="1" xfId="0" applyNumberFormat="1" applyFont="1" applyBorder="1" applyAlignment="1"/>
    <xf numFmtId="218" fontId="9" fillId="0" borderId="1" xfId="0" applyNumberFormat="1" applyFont="1" applyBorder="1" applyAlignment="1"/>
    <xf numFmtId="218" fontId="8" fillId="0" borderId="1" xfId="0" applyNumberFormat="1" applyFont="1" applyBorder="1" applyAlignment="1"/>
    <xf numFmtId="218" fontId="3" fillId="0" borderId="1" xfId="0" applyNumberFormat="1" applyFont="1" applyBorder="1" applyAlignment="1"/>
    <xf numFmtId="219" fontId="9" fillId="0" borderId="1" xfId="0" applyNumberFormat="1" applyFont="1" applyBorder="1" applyAlignment="1"/>
    <xf numFmtId="219" fontId="8" fillId="0" borderId="1" xfId="0" applyNumberFormat="1" applyFont="1" applyBorder="1" applyAlignment="1"/>
    <xf numFmtId="219" fontId="3" fillId="0" borderId="1" xfId="0" applyNumberFormat="1" applyFont="1" applyBorder="1" applyAlignment="1"/>
    <xf numFmtId="220" fontId="9" fillId="0" borderId="1" xfId="0" applyNumberFormat="1" applyFont="1" applyBorder="1" applyAlignment="1"/>
    <xf numFmtId="220" fontId="8" fillId="0" borderId="1" xfId="0" applyNumberFormat="1" applyFont="1" applyBorder="1" applyAlignment="1"/>
    <xf numFmtId="220" fontId="3" fillId="0" borderId="1" xfId="0" applyNumberFormat="1" applyFont="1" applyBorder="1" applyAlignment="1"/>
    <xf numFmtId="221" fontId="9" fillId="0" borderId="1" xfId="0" applyNumberFormat="1" applyFont="1" applyBorder="1" applyAlignment="1"/>
    <xf numFmtId="221" fontId="8" fillId="0" borderId="1" xfId="0" applyNumberFormat="1" applyFont="1" applyBorder="1" applyAlignment="1"/>
    <xf numFmtId="221" fontId="3" fillId="0" borderId="1" xfId="0" applyNumberFormat="1" applyFont="1" applyBorder="1" applyAlignment="1"/>
    <xf numFmtId="222" fontId="9" fillId="0" borderId="1" xfId="0" applyNumberFormat="1" applyFont="1" applyBorder="1" applyAlignment="1"/>
    <xf numFmtId="222" fontId="8" fillId="0" borderId="1" xfId="0" applyNumberFormat="1" applyFont="1" applyBorder="1" applyAlignment="1"/>
    <xf numFmtId="222" fontId="3" fillId="0" borderId="1" xfId="0" applyNumberFormat="1" applyFont="1" applyBorder="1" applyAlignment="1"/>
    <xf numFmtId="223" fontId="9" fillId="0" borderId="1" xfId="0" applyNumberFormat="1" applyFont="1" applyBorder="1" applyAlignment="1"/>
    <xf numFmtId="223" fontId="8" fillId="0" borderId="1" xfId="0" applyNumberFormat="1" applyFont="1" applyBorder="1" applyAlignment="1"/>
    <xf numFmtId="223" fontId="3" fillId="0" borderId="1" xfId="0" applyNumberFormat="1" applyFont="1" applyBorder="1" applyAlignment="1"/>
    <xf numFmtId="224" fontId="9" fillId="0" borderId="1" xfId="0" applyNumberFormat="1" applyFont="1" applyBorder="1" applyAlignment="1"/>
    <xf numFmtId="224" fontId="8" fillId="0" borderId="1" xfId="0" applyNumberFormat="1" applyFont="1" applyBorder="1" applyAlignment="1"/>
    <xf numFmtId="224" fontId="3" fillId="0" borderId="1" xfId="0" applyNumberFormat="1" applyFont="1" applyBorder="1" applyAlignment="1"/>
    <xf numFmtId="225" fontId="9" fillId="0" borderId="1" xfId="0" applyNumberFormat="1" applyFont="1" applyBorder="1" applyAlignment="1"/>
    <xf numFmtId="225" fontId="8" fillId="0" borderId="1" xfId="0" applyNumberFormat="1" applyFont="1" applyBorder="1" applyAlignment="1"/>
    <xf numFmtId="225" fontId="3" fillId="0" borderId="1" xfId="0" applyNumberFormat="1" applyFont="1" applyBorder="1" applyAlignment="1"/>
    <xf numFmtId="226" fontId="9" fillId="0" borderId="1" xfId="0" applyNumberFormat="1" applyFont="1" applyBorder="1" applyAlignment="1"/>
    <xf numFmtId="226" fontId="8" fillId="0" borderId="1" xfId="0" applyNumberFormat="1" applyFont="1" applyBorder="1" applyAlignment="1"/>
    <xf numFmtId="226" fontId="3" fillId="0" borderId="1" xfId="0" applyNumberFormat="1" applyFont="1" applyBorder="1" applyAlignmen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6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9" fillId="0" borderId="1" xfId="0" applyFont="1" applyBorder="1"/>
    <xf numFmtId="4" fontId="9" fillId="0" borderId="1" xfId="0" applyNumberFormat="1" applyFont="1" applyBorder="1"/>
    <xf numFmtId="0" fontId="10" fillId="0" borderId="1" xfId="0" applyFont="1" applyBorder="1"/>
    <xf numFmtId="0" fontId="3" fillId="0" borderId="0" xfId="0" applyFont="1"/>
    <xf numFmtId="0" fontId="8" fillId="0" borderId="0" xfId="0" applyFont="1"/>
    <xf numFmtId="0" fontId="7" fillId="4" borderId="0" xfId="0" applyFont="1" applyFill="1" applyBorder="1" applyAlignment="1"/>
  </cellXfs>
  <cellStyles count="1">
    <cellStyle name="Normal" xfId="0" builtinId="0"/>
  </cellStyles>
  <dxfs count="2">
    <dxf>
      <fill>
        <patternFill>
          <bgColor rgb="FFD9D9D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F4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7"/>
  <sheetViews>
    <sheetView tabSelected="1" zoomScaleNormal="100" workbookViewId="0">
      <pane xSplit="2" ySplit="9" topLeftCell="C175" activePane="bottomRight" state="frozen"/>
      <selection pane="topRight" activeCell="C1" sqref="C1"/>
      <selection pane="bottomLeft" activeCell="A10" sqref="A10"/>
      <selection pane="bottomRight" activeCell="A189" sqref="A189:XFD189"/>
    </sheetView>
  </sheetViews>
  <sheetFormatPr defaultColWidth="8.6796875" defaultRowHeight="14.75" x14ac:dyDescent="0.75"/>
  <cols>
    <col min="1" max="1" width="6" style="1" customWidth="1"/>
    <col min="2" max="2" width="30" style="1" customWidth="1"/>
    <col min="3" max="3" width="24" style="1" customWidth="1"/>
    <col min="4" max="5" width="14" style="1" customWidth="1"/>
    <col min="6" max="6" width="10" style="1" customWidth="1"/>
    <col min="7" max="7" width="16" style="1" customWidth="1"/>
    <col min="8" max="9" width="14" style="1" customWidth="1"/>
    <col min="10" max="10" width="16" style="1" customWidth="1"/>
    <col min="11" max="12" width="10" style="1" customWidth="1"/>
    <col min="13" max="13" width="44" style="1" customWidth="1"/>
  </cols>
  <sheetData>
    <row r="1" spans="1:13" ht="17.25" customHeight="1" x14ac:dyDescent="0.8">
      <c r="A1" s="2" t="s">
        <v>0</v>
      </c>
    </row>
    <row r="2" spans="1:13" ht="15" customHeight="1" x14ac:dyDescent="0.75">
      <c r="A2" s="3" t="s">
        <v>1</v>
      </c>
    </row>
    <row r="4" spans="1:13" ht="15" customHeight="1" x14ac:dyDescent="0.75">
      <c r="A4" s="4" t="s">
        <v>2</v>
      </c>
      <c r="D4" s="5">
        <v>0.15</v>
      </c>
      <c r="E4" s="6" t="s">
        <v>3</v>
      </c>
    </row>
    <row r="5" spans="1:13" ht="15" customHeight="1" x14ac:dyDescent="0.75">
      <c r="A5" s="4" t="s">
        <v>4</v>
      </c>
      <c r="D5" s="5">
        <v>0.3</v>
      </c>
      <c r="E5" s="6" t="s">
        <v>5</v>
      </c>
    </row>
    <row r="6" spans="1:13" ht="15" customHeight="1" x14ac:dyDescent="0.75">
      <c r="A6" s="4" t="s">
        <v>6</v>
      </c>
      <c r="D6" s="7">
        <v>9.99</v>
      </c>
      <c r="E6" s="6" t="s">
        <v>7</v>
      </c>
    </row>
    <row r="7" spans="1:13" ht="15" customHeight="1" x14ac:dyDescent="0.75">
      <c r="E7" s="6" t="s">
        <v>8</v>
      </c>
    </row>
    <row r="9" spans="1:13" ht="42" customHeight="1" x14ac:dyDescent="0.7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8" t="s">
        <v>19</v>
      </c>
      <c r="L9" s="8" t="s">
        <v>20</v>
      </c>
      <c r="M9" s="8" t="s">
        <v>21</v>
      </c>
    </row>
    <row r="10" spans="1:13" ht="15" customHeight="1" x14ac:dyDescent="0.75">
      <c r="A10" s="208" t="s">
        <v>22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</row>
    <row r="11" spans="1:13" ht="15" customHeight="1" x14ac:dyDescent="0.75">
      <c r="A11" s="9">
        <v>1</v>
      </c>
      <c r="B11" s="10" t="s">
        <v>23</v>
      </c>
      <c r="C11" s="10" t="s">
        <v>24</v>
      </c>
      <c r="D11" s="11">
        <v>9.99</v>
      </c>
      <c r="E11" s="11">
        <v>7</v>
      </c>
      <c r="F11" s="12">
        <f>MAX(0,ROUND((D11*(1-$D$5)/E11-1)/0.005,0)*0.005)</f>
        <v>0</v>
      </c>
      <c r="G11" s="11">
        <v>9.99</v>
      </c>
      <c r="H11" s="13">
        <f>G11/(1-$D$4)*(1+F11)</f>
        <v>11.752941176470589</v>
      </c>
      <c r="I11" s="14">
        <f>CEILING(H11+L11,K11)-L11</f>
        <v>11.99</v>
      </c>
      <c r="J11" s="13">
        <f>I11/(1+F11)*(1-$D$4)</f>
        <v>10.1915</v>
      </c>
      <c r="K11" s="15">
        <v>0.5</v>
      </c>
      <c r="L11" s="16">
        <v>0.01</v>
      </c>
      <c r="M11" s="17"/>
    </row>
    <row r="12" spans="1:13" ht="15" customHeight="1" x14ac:dyDescent="0.75">
      <c r="A12" s="9">
        <v>2</v>
      </c>
      <c r="B12" s="10" t="s">
        <v>25</v>
      </c>
      <c r="C12" s="10" t="s">
        <v>26</v>
      </c>
      <c r="D12" s="18">
        <v>12.99</v>
      </c>
      <c r="E12" s="18">
        <v>9.09</v>
      </c>
      <c r="F12" s="12">
        <f>MAX(0,ROUND((D12*(1-$D$5)/E12-1)/0.005,0)*0.005)</f>
        <v>0</v>
      </c>
      <c r="G12" s="18">
        <v>13.99</v>
      </c>
      <c r="H12" s="19">
        <f>G12/(1-$D$4)*(1+F12)</f>
        <v>16.458823529411767</v>
      </c>
      <c r="I12" s="20">
        <f>CEILING(H12+L12,K12)-L12</f>
        <v>16.489999999999998</v>
      </c>
      <c r="J12" s="19">
        <f>I12/(1+F12)*(1-$D$4)</f>
        <v>14.016499999999999</v>
      </c>
      <c r="K12" s="15">
        <v>0.5</v>
      </c>
      <c r="L12" s="16">
        <v>0.01</v>
      </c>
      <c r="M12" s="17"/>
    </row>
    <row r="13" spans="1:13" ht="15" customHeight="1" x14ac:dyDescent="0.75">
      <c r="A13" s="208" t="s">
        <v>27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</row>
    <row r="14" spans="1:13" ht="15" customHeight="1" x14ac:dyDescent="0.75">
      <c r="A14" s="9">
        <v>3</v>
      </c>
      <c r="B14" s="10" t="s">
        <v>28</v>
      </c>
      <c r="C14" s="10" t="s">
        <v>24</v>
      </c>
      <c r="D14" s="11">
        <v>11.99</v>
      </c>
      <c r="E14" s="11">
        <v>6.99</v>
      </c>
      <c r="F14" s="12">
        <f t="shared" ref="F14:F55" si="0">MAX(0,ROUND((D14*(1-$D$5)/E14-1)/0.005,0)*0.005)</f>
        <v>0.2</v>
      </c>
      <c r="G14" s="11">
        <v>6.49</v>
      </c>
      <c r="H14" s="13">
        <f t="shared" ref="H14:H55" si="1">G14/(1-$D$4)*(1+F14)</f>
        <v>9.1623529411764704</v>
      </c>
      <c r="I14" s="14">
        <f t="shared" ref="I14:I55" si="2">CEILING(H14+L14,K14)-L14</f>
        <v>9.49</v>
      </c>
      <c r="J14" s="13">
        <f t="shared" ref="J14:J55" si="3">I14/(1+F14)*(1-$D$4)</f>
        <v>6.7220833333333339</v>
      </c>
      <c r="K14" s="15">
        <v>0.5</v>
      </c>
      <c r="L14" s="16">
        <v>0.01</v>
      </c>
      <c r="M14" s="17"/>
    </row>
    <row r="15" spans="1:13" ht="15" customHeight="1" x14ac:dyDescent="0.75">
      <c r="A15" s="9">
        <v>4</v>
      </c>
      <c r="B15" s="10" t="s">
        <v>29</v>
      </c>
      <c r="C15" s="10" t="s">
        <v>30</v>
      </c>
      <c r="D15" s="21">
        <v>9.99</v>
      </c>
      <c r="E15" s="21">
        <v>5.83</v>
      </c>
      <c r="F15" s="12">
        <f t="shared" si="0"/>
        <v>0.2</v>
      </c>
      <c r="G15" s="21">
        <v>8.99</v>
      </c>
      <c r="H15" s="22">
        <f t="shared" si="1"/>
        <v>12.691764705882353</v>
      </c>
      <c r="I15" s="23">
        <f t="shared" si="2"/>
        <v>12.99</v>
      </c>
      <c r="J15" s="22">
        <f t="shared" si="3"/>
        <v>9.2012499999999999</v>
      </c>
      <c r="K15" s="15">
        <v>0.5</v>
      </c>
      <c r="L15" s="16">
        <v>0.01</v>
      </c>
      <c r="M15" s="17"/>
    </row>
    <row r="16" spans="1:13" ht="15" customHeight="1" x14ac:dyDescent="0.75">
      <c r="A16" s="9">
        <v>5</v>
      </c>
      <c r="B16" s="10" t="s">
        <v>31</v>
      </c>
      <c r="C16" s="10" t="s">
        <v>24</v>
      </c>
      <c r="D16" s="11">
        <v>11.99</v>
      </c>
      <c r="E16" s="11">
        <v>6.99</v>
      </c>
      <c r="F16" s="12">
        <f t="shared" si="0"/>
        <v>0.2</v>
      </c>
      <c r="G16" s="11">
        <v>6.49</v>
      </c>
      <c r="H16" s="13">
        <f t="shared" si="1"/>
        <v>9.1623529411764704</v>
      </c>
      <c r="I16" s="14">
        <f t="shared" si="2"/>
        <v>9.49</v>
      </c>
      <c r="J16" s="13">
        <f t="shared" si="3"/>
        <v>6.7220833333333339</v>
      </c>
      <c r="K16" s="15">
        <v>0.5</v>
      </c>
      <c r="L16" s="16">
        <v>0.01</v>
      </c>
      <c r="M16" s="17"/>
    </row>
    <row r="17" spans="1:13" ht="15" customHeight="1" x14ac:dyDescent="0.75">
      <c r="A17" s="9">
        <v>6</v>
      </c>
      <c r="B17" s="10" t="s">
        <v>32</v>
      </c>
      <c r="C17" s="10" t="s">
        <v>30</v>
      </c>
      <c r="D17" s="21">
        <v>9.99</v>
      </c>
      <c r="E17" s="21">
        <v>5.78</v>
      </c>
      <c r="F17" s="12">
        <f t="shared" si="0"/>
        <v>0.21</v>
      </c>
      <c r="G17" s="21">
        <v>8.99</v>
      </c>
      <c r="H17" s="22">
        <f t="shared" si="1"/>
        <v>12.797529411764705</v>
      </c>
      <c r="I17" s="23">
        <f t="shared" si="2"/>
        <v>12.99</v>
      </c>
      <c r="J17" s="22">
        <f t="shared" si="3"/>
        <v>9.125206611570249</v>
      </c>
      <c r="K17" s="15">
        <v>0.5</v>
      </c>
      <c r="L17" s="16">
        <v>0.01</v>
      </c>
      <c r="M17" s="17"/>
    </row>
    <row r="18" spans="1:13" ht="15" customHeight="1" x14ac:dyDescent="0.75">
      <c r="A18" s="9">
        <v>7</v>
      </c>
      <c r="B18" s="10" t="s">
        <v>33</v>
      </c>
      <c r="C18" s="10" t="s">
        <v>30</v>
      </c>
      <c r="D18" s="21">
        <v>9.99</v>
      </c>
      <c r="E18" s="21">
        <v>5.98</v>
      </c>
      <c r="F18" s="12">
        <f t="shared" si="0"/>
        <v>0.17</v>
      </c>
      <c r="G18" s="21">
        <v>5.69</v>
      </c>
      <c r="H18" s="22">
        <f t="shared" si="1"/>
        <v>7.8321176470588236</v>
      </c>
      <c r="I18" s="23">
        <f t="shared" si="2"/>
        <v>7.99</v>
      </c>
      <c r="J18" s="22">
        <f t="shared" si="3"/>
        <v>5.8047008547008554</v>
      </c>
      <c r="K18" s="15">
        <v>0.5</v>
      </c>
      <c r="L18" s="16">
        <v>0.01</v>
      </c>
      <c r="M18" s="17" t="s">
        <v>34</v>
      </c>
    </row>
    <row r="19" spans="1:13" ht="15" customHeight="1" x14ac:dyDescent="0.75">
      <c r="A19" s="9">
        <v>8</v>
      </c>
      <c r="B19" s="10" t="s">
        <v>35</v>
      </c>
      <c r="C19" s="10" t="s">
        <v>30</v>
      </c>
      <c r="D19" s="21">
        <v>9.99</v>
      </c>
      <c r="E19" s="21">
        <v>5.83</v>
      </c>
      <c r="F19" s="12">
        <f t="shared" si="0"/>
        <v>0.2</v>
      </c>
      <c r="G19" s="21">
        <v>5.49</v>
      </c>
      <c r="H19" s="22">
        <f t="shared" si="1"/>
        <v>7.7505882352941171</v>
      </c>
      <c r="I19" s="23">
        <f t="shared" si="2"/>
        <v>7.99</v>
      </c>
      <c r="J19" s="22">
        <f t="shared" si="3"/>
        <v>5.6595833333333339</v>
      </c>
      <c r="K19" s="15">
        <v>0.5</v>
      </c>
      <c r="L19" s="16">
        <v>0.01</v>
      </c>
      <c r="M19" s="17"/>
    </row>
    <row r="20" spans="1:13" ht="15" customHeight="1" x14ac:dyDescent="0.75">
      <c r="A20" s="9">
        <v>9</v>
      </c>
      <c r="B20" s="10" t="s">
        <v>36</v>
      </c>
      <c r="C20" s="10" t="s">
        <v>30</v>
      </c>
      <c r="D20" s="21">
        <v>9.99</v>
      </c>
      <c r="E20" s="21">
        <v>5.59</v>
      </c>
      <c r="F20" s="12">
        <f t="shared" si="0"/>
        <v>0.25</v>
      </c>
      <c r="G20" s="21">
        <v>5.49</v>
      </c>
      <c r="H20" s="22">
        <f t="shared" si="1"/>
        <v>8.0735294117647065</v>
      </c>
      <c r="I20" s="23">
        <f t="shared" si="2"/>
        <v>8.49</v>
      </c>
      <c r="J20" s="22">
        <f t="shared" si="3"/>
        <v>5.7732000000000001</v>
      </c>
      <c r="K20" s="15">
        <v>0.5</v>
      </c>
      <c r="L20" s="16">
        <v>0.01</v>
      </c>
      <c r="M20" s="17"/>
    </row>
    <row r="21" spans="1:13" ht="15" customHeight="1" x14ac:dyDescent="0.75">
      <c r="A21" s="9">
        <v>10</v>
      </c>
      <c r="B21" s="10" t="s">
        <v>37</v>
      </c>
      <c r="C21" s="10" t="s">
        <v>30</v>
      </c>
      <c r="D21" s="21">
        <v>9.99</v>
      </c>
      <c r="E21" s="21">
        <v>5.88</v>
      </c>
      <c r="F21" s="12">
        <f t="shared" si="0"/>
        <v>0.19</v>
      </c>
      <c r="G21" s="21">
        <v>7.49</v>
      </c>
      <c r="H21" s="22">
        <f t="shared" si="1"/>
        <v>10.486000000000001</v>
      </c>
      <c r="I21" s="23">
        <f t="shared" si="2"/>
        <v>10.49</v>
      </c>
      <c r="J21" s="22">
        <f t="shared" si="3"/>
        <v>7.4928571428571429</v>
      </c>
      <c r="K21" s="15">
        <v>0.5</v>
      </c>
      <c r="L21" s="16">
        <v>0.01</v>
      </c>
      <c r="M21" s="17"/>
    </row>
    <row r="22" spans="1:13" ht="15" customHeight="1" x14ac:dyDescent="0.75">
      <c r="A22" s="9">
        <v>11</v>
      </c>
      <c r="B22" s="10" t="s">
        <v>38</v>
      </c>
      <c r="C22" s="10" t="s">
        <v>39</v>
      </c>
      <c r="D22" s="24">
        <v>249</v>
      </c>
      <c r="E22" s="24">
        <v>144.05000000000001</v>
      </c>
      <c r="F22" s="12">
        <f t="shared" si="0"/>
        <v>0.21</v>
      </c>
      <c r="G22" s="24">
        <v>135</v>
      </c>
      <c r="H22" s="25">
        <f t="shared" si="1"/>
        <v>192.17647058823528</v>
      </c>
      <c r="I22" s="26">
        <f t="shared" si="2"/>
        <v>199</v>
      </c>
      <c r="J22" s="25">
        <f t="shared" si="3"/>
        <v>139.79338842975207</v>
      </c>
      <c r="K22" s="15">
        <v>10</v>
      </c>
      <c r="L22" s="16">
        <v>1</v>
      </c>
      <c r="M22" s="17"/>
    </row>
    <row r="23" spans="1:13" ht="15" customHeight="1" x14ac:dyDescent="0.75">
      <c r="A23" s="9">
        <v>12</v>
      </c>
      <c r="B23" s="10" t="s">
        <v>40</v>
      </c>
      <c r="C23" s="10" t="s">
        <v>41</v>
      </c>
      <c r="D23" s="27">
        <v>89</v>
      </c>
      <c r="E23" s="27">
        <v>49.84</v>
      </c>
      <c r="F23" s="12">
        <f t="shared" si="0"/>
        <v>0.25</v>
      </c>
      <c r="G23" s="27">
        <v>66</v>
      </c>
      <c r="H23" s="28">
        <f t="shared" si="1"/>
        <v>97.058823529411768</v>
      </c>
      <c r="I23" s="29">
        <f t="shared" si="2"/>
        <v>99</v>
      </c>
      <c r="J23" s="28">
        <f t="shared" si="3"/>
        <v>67.320000000000007</v>
      </c>
      <c r="K23" s="15">
        <v>10</v>
      </c>
      <c r="L23" s="16">
        <v>1</v>
      </c>
      <c r="M23" s="17"/>
    </row>
    <row r="24" spans="1:13" ht="15" customHeight="1" x14ac:dyDescent="0.75">
      <c r="A24" s="9">
        <v>13</v>
      </c>
      <c r="B24" s="10" t="s">
        <v>42</v>
      </c>
      <c r="C24" s="10" t="s">
        <v>30</v>
      </c>
      <c r="D24" s="21">
        <v>9.99</v>
      </c>
      <c r="E24" s="21">
        <v>5.64</v>
      </c>
      <c r="F24" s="12">
        <f t="shared" si="0"/>
        <v>0.24</v>
      </c>
      <c r="G24" s="21">
        <v>5.49</v>
      </c>
      <c r="H24" s="22">
        <f t="shared" si="1"/>
        <v>8.0089411764705876</v>
      </c>
      <c r="I24" s="23">
        <f t="shared" si="2"/>
        <v>8.49</v>
      </c>
      <c r="J24" s="22">
        <f t="shared" si="3"/>
        <v>5.8197580645161286</v>
      </c>
      <c r="K24" s="15">
        <v>0.5</v>
      </c>
      <c r="L24" s="16">
        <v>0.01</v>
      </c>
      <c r="M24" s="17"/>
    </row>
    <row r="25" spans="1:13" ht="15" customHeight="1" x14ac:dyDescent="0.75">
      <c r="A25" s="9">
        <v>14</v>
      </c>
      <c r="B25" s="10" t="s">
        <v>43</v>
      </c>
      <c r="C25" s="10" t="s">
        <v>30</v>
      </c>
      <c r="D25" s="21">
        <v>9.99</v>
      </c>
      <c r="E25" s="21">
        <v>5.57</v>
      </c>
      <c r="F25" s="12">
        <f t="shared" si="0"/>
        <v>0.255</v>
      </c>
      <c r="G25" s="21">
        <v>7.49</v>
      </c>
      <c r="H25" s="22">
        <f t="shared" si="1"/>
        <v>11.058764705882353</v>
      </c>
      <c r="I25" s="23">
        <f t="shared" si="2"/>
        <v>11.49</v>
      </c>
      <c r="J25" s="22">
        <f t="shared" si="3"/>
        <v>7.7820717131474106</v>
      </c>
      <c r="K25" s="15">
        <v>0.5</v>
      </c>
      <c r="L25" s="16">
        <v>0.01</v>
      </c>
      <c r="M25" s="17"/>
    </row>
    <row r="26" spans="1:13" ht="15" customHeight="1" x14ac:dyDescent="0.75">
      <c r="A26" s="9">
        <v>15</v>
      </c>
      <c r="B26" s="10" t="s">
        <v>44</v>
      </c>
      <c r="C26" s="10" t="s">
        <v>30</v>
      </c>
      <c r="D26" s="21">
        <v>9.99</v>
      </c>
      <c r="E26" s="21">
        <v>5.83</v>
      </c>
      <c r="F26" s="12">
        <f t="shared" si="0"/>
        <v>0.2</v>
      </c>
      <c r="G26" s="21">
        <v>8.99</v>
      </c>
      <c r="H26" s="22">
        <f t="shared" si="1"/>
        <v>12.691764705882353</v>
      </c>
      <c r="I26" s="23">
        <f t="shared" si="2"/>
        <v>12.99</v>
      </c>
      <c r="J26" s="22">
        <f t="shared" si="3"/>
        <v>9.2012499999999999</v>
      </c>
      <c r="K26" s="15">
        <v>0.5</v>
      </c>
      <c r="L26" s="16">
        <v>0.01</v>
      </c>
      <c r="M26" s="17"/>
    </row>
    <row r="27" spans="1:13" ht="15" customHeight="1" x14ac:dyDescent="0.75">
      <c r="A27" s="9">
        <v>16</v>
      </c>
      <c r="B27" s="10" t="s">
        <v>45</v>
      </c>
      <c r="C27" s="10" t="s">
        <v>30</v>
      </c>
      <c r="D27" s="21">
        <v>9.99</v>
      </c>
      <c r="E27" s="21">
        <v>5.88</v>
      </c>
      <c r="F27" s="12">
        <f t="shared" si="0"/>
        <v>0.19</v>
      </c>
      <c r="G27" s="21">
        <v>8.99</v>
      </c>
      <c r="H27" s="22">
        <f t="shared" si="1"/>
        <v>12.585999999999999</v>
      </c>
      <c r="I27" s="23">
        <f t="shared" si="2"/>
        <v>12.99</v>
      </c>
      <c r="J27" s="22">
        <f t="shared" si="3"/>
        <v>9.2785714285714285</v>
      </c>
      <c r="K27" s="15">
        <v>0.5</v>
      </c>
      <c r="L27" s="16">
        <v>0.01</v>
      </c>
      <c r="M27" s="17"/>
    </row>
    <row r="28" spans="1:13" ht="15" customHeight="1" x14ac:dyDescent="0.75">
      <c r="A28" s="9">
        <v>17</v>
      </c>
      <c r="B28" s="10" t="s">
        <v>46</v>
      </c>
      <c r="C28" s="10" t="s">
        <v>30</v>
      </c>
      <c r="D28" s="21">
        <v>9.99</v>
      </c>
      <c r="E28" s="21">
        <v>5.64</v>
      </c>
      <c r="F28" s="12">
        <f t="shared" si="0"/>
        <v>0.24</v>
      </c>
      <c r="G28" s="21">
        <v>5.49</v>
      </c>
      <c r="H28" s="22">
        <f t="shared" si="1"/>
        <v>8.0089411764705876</v>
      </c>
      <c r="I28" s="23">
        <f t="shared" si="2"/>
        <v>8.49</v>
      </c>
      <c r="J28" s="22">
        <f t="shared" si="3"/>
        <v>5.8197580645161286</v>
      </c>
      <c r="K28" s="15">
        <v>0.5</v>
      </c>
      <c r="L28" s="16">
        <v>0.01</v>
      </c>
      <c r="M28" s="17"/>
    </row>
    <row r="29" spans="1:13" ht="15" customHeight="1" x14ac:dyDescent="0.75">
      <c r="A29" s="9">
        <v>18</v>
      </c>
      <c r="B29" s="10" t="s">
        <v>47</v>
      </c>
      <c r="C29" s="10" t="s">
        <v>48</v>
      </c>
      <c r="D29" s="30">
        <v>4490</v>
      </c>
      <c r="E29" s="30">
        <v>2475</v>
      </c>
      <c r="F29" s="12">
        <f t="shared" si="0"/>
        <v>0.27</v>
      </c>
      <c r="G29" s="30">
        <v>2050</v>
      </c>
      <c r="H29" s="31">
        <f t="shared" si="1"/>
        <v>3062.9411764705887</v>
      </c>
      <c r="I29" s="32">
        <f t="shared" si="2"/>
        <v>3090</v>
      </c>
      <c r="J29" s="31">
        <f t="shared" si="3"/>
        <v>2068.110236220472</v>
      </c>
      <c r="K29" s="15">
        <v>100</v>
      </c>
      <c r="L29" s="16">
        <v>10</v>
      </c>
      <c r="M29" s="17"/>
    </row>
    <row r="30" spans="1:13" ht="15" customHeight="1" x14ac:dyDescent="0.75">
      <c r="A30" s="9">
        <v>19</v>
      </c>
      <c r="B30" s="10" t="s">
        <v>49</v>
      </c>
      <c r="C30" s="10" t="s">
        <v>24</v>
      </c>
      <c r="D30" s="11">
        <v>11.99</v>
      </c>
      <c r="E30" s="11">
        <v>6.77</v>
      </c>
      <c r="F30" s="12">
        <f t="shared" si="0"/>
        <v>0.24</v>
      </c>
      <c r="G30" s="11">
        <v>10.25</v>
      </c>
      <c r="H30" s="13">
        <f t="shared" si="1"/>
        <v>14.952941176470588</v>
      </c>
      <c r="I30" s="14">
        <f t="shared" si="2"/>
        <v>14.99</v>
      </c>
      <c r="J30" s="13">
        <f t="shared" si="3"/>
        <v>10.275403225806452</v>
      </c>
      <c r="K30" s="15">
        <v>0.5</v>
      </c>
      <c r="L30" s="16">
        <v>0.01</v>
      </c>
      <c r="M30" s="17" t="s">
        <v>50</v>
      </c>
    </row>
    <row r="31" spans="1:13" ht="15" customHeight="1" x14ac:dyDescent="0.75">
      <c r="A31" s="9">
        <v>20</v>
      </c>
      <c r="B31" s="10" t="s">
        <v>51</v>
      </c>
      <c r="C31" s="10" t="s">
        <v>30</v>
      </c>
      <c r="D31" s="21">
        <v>9.99</v>
      </c>
      <c r="E31" s="21">
        <v>5.69</v>
      </c>
      <c r="F31" s="12">
        <f t="shared" si="0"/>
        <v>0.23</v>
      </c>
      <c r="G31" s="21">
        <v>9.99</v>
      </c>
      <c r="H31" s="22">
        <f t="shared" si="1"/>
        <v>14.456117647058825</v>
      </c>
      <c r="I31" s="23">
        <f t="shared" si="2"/>
        <v>14.49</v>
      </c>
      <c r="J31" s="22">
        <f t="shared" si="3"/>
        <v>10.013414634146342</v>
      </c>
      <c r="K31" s="15">
        <v>0.5</v>
      </c>
      <c r="L31" s="16">
        <v>0.01</v>
      </c>
      <c r="M31" s="17"/>
    </row>
    <row r="32" spans="1:13" ht="15" customHeight="1" x14ac:dyDescent="0.75">
      <c r="A32" s="9">
        <v>21</v>
      </c>
      <c r="B32" s="10" t="s">
        <v>52</v>
      </c>
      <c r="C32" s="10" t="s">
        <v>30</v>
      </c>
      <c r="D32" s="21">
        <v>9.99</v>
      </c>
      <c r="E32" s="21">
        <v>5.69</v>
      </c>
      <c r="F32" s="12">
        <f t="shared" si="0"/>
        <v>0.23</v>
      </c>
      <c r="G32" s="21">
        <v>7.49</v>
      </c>
      <c r="H32" s="22">
        <f t="shared" si="1"/>
        <v>10.838470588235294</v>
      </c>
      <c r="I32" s="23">
        <f t="shared" si="2"/>
        <v>10.99</v>
      </c>
      <c r="J32" s="22">
        <f t="shared" si="3"/>
        <v>7.5947154471544716</v>
      </c>
      <c r="K32" s="15">
        <v>0.5</v>
      </c>
      <c r="L32" s="16">
        <v>0.01</v>
      </c>
      <c r="M32" s="17"/>
    </row>
    <row r="33" spans="1:13" ht="15" customHeight="1" x14ac:dyDescent="0.75">
      <c r="A33" s="9">
        <v>22</v>
      </c>
      <c r="B33" s="10" t="s">
        <v>53</v>
      </c>
      <c r="C33" s="10" t="s">
        <v>30</v>
      </c>
      <c r="D33" s="21">
        <v>9.99</v>
      </c>
      <c r="E33" s="21">
        <v>5.93</v>
      </c>
      <c r="F33" s="12">
        <f t="shared" si="0"/>
        <v>0.18</v>
      </c>
      <c r="G33" s="21">
        <v>4.38</v>
      </c>
      <c r="H33" s="22">
        <f t="shared" si="1"/>
        <v>6.0804705882352943</v>
      </c>
      <c r="I33" s="23">
        <f t="shared" si="2"/>
        <v>6.49</v>
      </c>
      <c r="J33" s="22">
        <f t="shared" si="3"/>
        <v>4.6750000000000007</v>
      </c>
      <c r="K33" s="15">
        <v>0.5</v>
      </c>
      <c r="L33" s="16">
        <v>0.01</v>
      </c>
      <c r="M33" s="17" t="s">
        <v>54</v>
      </c>
    </row>
    <row r="34" spans="1:13" ht="15" customHeight="1" x14ac:dyDescent="0.75">
      <c r="A34" s="9">
        <v>23</v>
      </c>
      <c r="B34" s="10" t="s">
        <v>55</v>
      </c>
      <c r="C34" s="10" t="s">
        <v>30</v>
      </c>
      <c r="D34" s="21">
        <v>9.99</v>
      </c>
      <c r="E34" s="21">
        <v>5.78</v>
      </c>
      <c r="F34" s="12">
        <f t="shared" si="0"/>
        <v>0.21</v>
      </c>
      <c r="G34" s="21">
        <v>5.49</v>
      </c>
      <c r="H34" s="22">
        <f t="shared" si="1"/>
        <v>7.8151764705882352</v>
      </c>
      <c r="I34" s="23">
        <f t="shared" si="2"/>
        <v>7.99</v>
      </c>
      <c r="J34" s="22">
        <f t="shared" si="3"/>
        <v>5.6128099173553725</v>
      </c>
      <c r="K34" s="15">
        <v>0.5</v>
      </c>
      <c r="L34" s="16">
        <v>0.01</v>
      </c>
      <c r="M34" s="17"/>
    </row>
    <row r="35" spans="1:13" ht="15" customHeight="1" x14ac:dyDescent="0.75">
      <c r="A35" s="9">
        <v>24</v>
      </c>
      <c r="B35" s="10" t="s">
        <v>56</v>
      </c>
      <c r="C35" s="10" t="s">
        <v>30</v>
      </c>
      <c r="D35" s="21">
        <v>9.99</v>
      </c>
      <c r="E35" s="21">
        <v>5.78</v>
      </c>
      <c r="F35" s="12">
        <f t="shared" si="0"/>
        <v>0.21</v>
      </c>
      <c r="G35" s="21">
        <v>7.49</v>
      </c>
      <c r="H35" s="22">
        <f t="shared" si="1"/>
        <v>10.662235294117648</v>
      </c>
      <c r="I35" s="23">
        <f t="shared" si="2"/>
        <v>10.99</v>
      </c>
      <c r="J35" s="22">
        <f t="shared" si="3"/>
        <v>7.7202479338842984</v>
      </c>
      <c r="K35" s="15">
        <v>0.5</v>
      </c>
      <c r="L35" s="16">
        <v>0.01</v>
      </c>
      <c r="M35" s="17"/>
    </row>
    <row r="36" spans="1:13" ht="15" customHeight="1" x14ac:dyDescent="0.75">
      <c r="A36" s="9">
        <v>25</v>
      </c>
      <c r="B36" s="10" t="s">
        <v>57</v>
      </c>
      <c r="C36" s="10" t="s">
        <v>30</v>
      </c>
      <c r="D36" s="21">
        <v>9.99</v>
      </c>
      <c r="E36" s="21">
        <v>5.98</v>
      </c>
      <c r="F36" s="12">
        <f t="shared" si="0"/>
        <v>0.17</v>
      </c>
      <c r="G36" s="21">
        <v>9.99</v>
      </c>
      <c r="H36" s="22">
        <f t="shared" si="1"/>
        <v>13.750941176470588</v>
      </c>
      <c r="I36" s="23">
        <f t="shared" si="2"/>
        <v>13.99</v>
      </c>
      <c r="J36" s="22">
        <f t="shared" si="3"/>
        <v>10.163675213675214</v>
      </c>
      <c r="K36" s="15">
        <v>0.5</v>
      </c>
      <c r="L36" s="16">
        <v>0.01</v>
      </c>
      <c r="M36" s="17"/>
    </row>
    <row r="37" spans="1:13" ht="15" customHeight="1" x14ac:dyDescent="0.75">
      <c r="A37" s="9">
        <v>26</v>
      </c>
      <c r="B37" s="10" t="s">
        <v>58</v>
      </c>
      <c r="C37" s="10" t="s">
        <v>30</v>
      </c>
      <c r="D37" s="21">
        <v>9.99</v>
      </c>
      <c r="E37" s="21">
        <v>5.93</v>
      </c>
      <c r="F37" s="12">
        <f t="shared" si="0"/>
        <v>0.18</v>
      </c>
      <c r="G37" s="21">
        <v>7.49</v>
      </c>
      <c r="H37" s="22">
        <f t="shared" si="1"/>
        <v>10.397882352941176</v>
      </c>
      <c r="I37" s="23">
        <f t="shared" si="2"/>
        <v>10.49</v>
      </c>
      <c r="J37" s="22">
        <f t="shared" si="3"/>
        <v>7.5563559322033891</v>
      </c>
      <c r="K37" s="15">
        <v>0.5</v>
      </c>
      <c r="L37" s="16">
        <v>0.01</v>
      </c>
      <c r="M37" s="17"/>
    </row>
    <row r="38" spans="1:13" ht="15" customHeight="1" x14ac:dyDescent="0.75">
      <c r="A38" s="9">
        <v>27</v>
      </c>
      <c r="B38" s="10" t="s">
        <v>59</v>
      </c>
      <c r="C38" s="10" t="s">
        <v>24</v>
      </c>
      <c r="D38" s="11">
        <v>11.99</v>
      </c>
      <c r="E38" s="11">
        <v>6.99</v>
      </c>
      <c r="F38" s="12">
        <f t="shared" si="0"/>
        <v>0.2</v>
      </c>
      <c r="G38" s="11">
        <v>4.99</v>
      </c>
      <c r="H38" s="13">
        <f t="shared" si="1"/>
        <v>7.0447058823529414</v>
      </c>
      <c r="I38" s="14">
        <f t="shared" si="2"/>
        <v>7.49</v>
      </c>
      <c r="J38" s="13">
        <f t="shared" si="3"/>
        <v>5.3054166666666669</v>
      </c>
      <c r="K38" s="15">
        <v>0.5</v>
      </c>
      <c r="L38" s="16">
        <v>0.01</v>
      </c>
      <c r="M38" s="17"/>
    </row>
    <row r="39" spans="1:13" ht="15" customHeight="1" x14ac:dyDescent="0.75">
      <c r="A39" s="9">
        <v>28</v>
      </c>
      <c r="B39" s="10" t="s">
        <v>60</v>
      </c>
      <c r="C39" s="10" t="s">
        <v>30</v>
      </c>
      <c r="D39" s="21">
        <v>9.99</v>
      </c>
      <c r="E39" s="21">
        <v>6.99</v>
      </c>
      <c r="F39" s="12">
        <f t="shared" si="0"/>
        <v>0</v>
      </c>
      <c r="G39" s="21">
        <v>5.69</v>
      </c>
      <c r="H39" s="22">
        <f t="shared" si="1"/>
        <v>6.6941176470588237</v>
      </c>
      <c r="I39" s="23">
        <f t="shared" si="2"/>
        <v>6.99</v>
      </c>
      <c r="J39" s="22">
        <f t="shared" si="3"/>
        <v>5.9415000000000004</v>
      </c>
      <c r="K39" s="15">
        <v>0.5</v>
      </c>
      <c r="L39" s="16">
        <v>0.01</v>
      </c>
      <c r="M39" s="17" t="s">
        <v>34</v>
      </c>
    </row>
    <row r="40" spans="1:13" ht="15" customHeight="1" x14ac:dyDescent="0.75">
      <c r="A40" s="9">
        <v>29</v>
      </c>
      <c r="B40" s="10" t="s">
        <v>61</v>
      </c>
      <c r="C40" s="10" t="s">
        <v>30</v>
      </c>
      <c r="D40" s="21">
        <v>9.99</v>
      </c>
      <c r="E40" s="21">
        <v>5.78</v>
      </c>
      <c r="F40" s="12">
        <f t="shared" si="0"/>
        <v>0.21</v>
      </c>
      <c r="G40" s="21">
        <v>8.99</v>
      </c>
      <c r="H40" s="22">
        <f t="shared" si="1"/>
        <v>12.797529411764705</v>
      </c>
      <c r="I40" s="23">
        <f t="shared" si="2"/>
        <v>12.99</v>
      </c>
      <c r="J40" s="22">
        <f t="shared" si="3"/>
        <v>9.125206611570249</v>
      </c>
      <c r="K40" s="15">
        <v>0.5</v>
      </c>
      <c r="L40" s="16">
        <v>0.01</v>
      </c>
      <c r="M40" s="17"/>
    </row>
    <row r="41" spans="1:13" ht="15" customHeight="1" x14ac:dyDescent="0.75">
      <c r="A41" s="9">
        <v>30</v>
      </c>
      <c r="B41" s="10" t="s">
        <v>62</v>
      </c>
      <c r="C41" s="10" t="s">
        <v>24</v>
      </c>
      <c r="D41" s="11">
        <v>9.99</v>
      </c>
      <c r="E41" s="11">
        <v>7</v>
      </c>
      <c r="F41" s="12">
        <f t="shared" si="0"/>
        <v>0</v>
      </c>
      <c r="G41" s="11">
        <v>6.49</v>
      </c>
      <c r="H41" s="13">
        <f t="shared" si="1"/>
        <v>7.6352941176470592</v>
      </c>
      <c r="I41" s="14">
        <f t="shared" si="2"/>
        <v>7.99</v>
      </c>
      <c r="J41" s="13">
        <f t="shared" si="3"/>
        <v>6.7915000000000001</v>
      </c>
      <c r="K41" s="15">
        <v>0.5</v>
      </c>
      <c r="L41" s="16">
        <v>0.01</v>
      </c>
      <c r="M41" s="17"/>
    </row>
    <row r="42" spans="1:13" ht="15" customHeight="1" x14ac:dyDescent="0.75">
      <c r="A42" s="9">
        <v>31</v>
      </c>
      <c r="B42" s="10" t="s">
        <v>63</v>
      </c>
      <c r="C42" s="10" t="s">
        <v>64</v>
      </c>
      <c r="D42" s="27">
        <v>129</v>
      </c>
      <c r="E42" s="27">
        <v>72.239999999999995</v>
      </c>
      <c r="F42" s="12">
        <f t="shared" si="0"/>
        <v>0.25</v>
      </c>
      <c r="G42" s="27">
        <v>109</v>
      </c>
      <c r="H42" s="28">
        <f t="shared" si="1"/>
        <v>160.29411764705884</v>
      </c>
      <c r="I42" s="29">
        <f t="shared" si="2"/>
        <v>169</v>
      </c>
      <c r="J42" s="28">
        <f t="shared" si="3"/>
        <v>114.91999999999999</v>
      </c>
      <c r="K42" s="15">
        <v>10</v>
      </c>
      <c r="L42" s="16">
        <v>1</v>
      </c>
      <c r="M42" s="17"/>
    </row>
    <row r="43" spans="1:13" ht="15" customHeight="1" x14ac:dyDescent="0.75">
      <c r="A43" s="9">
        <v>32</v>
      </c>
      <c r="B43" s="10" t="s">
        <v>65</v>
      </c>
      <c r="C43" s="10" t="s">
        <v>66</v>
      </c>
      <c r="D43" s="33">
        <v>49.99</v>
      </c>
      <c r="E43" s="33">
        <v>28.45</v>
      </c>
      <c r="F43" s="12">
        <f t="shared" si="0"/>
        <v>0.23</v>
      </c>
      <c r="G43" s="33">
        <v>24.49</v>
      </c>
      <c r="H43" s="34">
        <f t="shared" si="1"/>
        <v>35.438470588235297</v>
      </c>
      <c r="I43" s="35">
        <f t="shared" si="2"/>
        <v>35.49</v>
      </c>
      <c r="J43" s="34">
        <f t="shared" si="3"/>
        <v>24.525609756097563</v>
      </c>
      <c r="K43" s="15">
        <v>0.5</v>
      </c>
      <c r="L43" s="16">
        <v>0.01</v>
      </c>
      <c r="M43" s="17"/>
    </row>
    <row r="44" spans="1:13" ht="15" customHeight="1" x14ac:dyDescent="0.75">
      <c r="A44" s="9">
        <v>33</v>
      </c>
      <c r="B44" s="10" t="s">
        <v>67</v>
      </c>
      <c r="C44" s="10" t="s">
        <v>30</v>
      </c>
      <c r="D44" s="21">
        <v>9.99</v>
      </c>
      <c r="E44" s="21">
        <v>5.69</v>
      </c>
      <c r="F44" s="12">
        <f t="shared" si="0"/>
        <v>0.23</v>
      </c>
      <c r="G44" s="21">
        <v>5.49</v>
      </c>
      <c r="H44" s="22">
        <f t="shared" si="1"/>
        <v>7.9443529411764704</v>
      </c>
      <c r="I44" s="23">
        <f t="shared" si="2"/>
        <v>7.99</v>
      </c>
      <c r="J44" s="22">
        <f t="shared" si="3"/>
        <v>5.5215447154471544</v>
      </c>
      <c r="K44" s="15">
        <v>0.5</v>
      </c>
      <c r="L44" s="16">
        <v>0.01</v>
      </c>
      <c r="M44" s="17"/>
    </row>
    <row r="45" spans="1:13" ht="15" customHeight="1" x14ac:dyDescent="0.75">
      <c r="A45" s="9">
        <v>34</v>
      </c>
      <c r="B45" s="10" t="s">
        <v>68</v>
      </c>
      <c r="C45" s="10" t="s">
        <v>69</v>
      </c>
      <c r="D45" s="36">
        <v>49.99</v>
      </c>
      <c r="E45" s="36">
        <v>28.92</v>
      </c>
      <c r="F45" s="12">
        <f t="shared" si="0"/>
        <v>0.21</v>
      </c>
      <c r="G45" s="36">
        <v>29.49</v>
      </c>
      <c r="H45" s="37">
        <f t="shared" si="1"/>
        <v>41.979882352941175</v>
      </c>
      <c r="I45" s="38">
        <f t="shared" si="2"/>
        <v>41.99</v>
      </c>
      <c r="J45" s="37">
        <f t="shared" si="3"/>
        <v>29.497107438016531</v>
      </c>
      <c r="K45" s="15">
        <v>0.5</v>
      </c>
      <c r="L45" s="16">
        <v>0.01</v>
      </c>
      <c r="M45" s="17"/>
    </row>
    <row r="46" spans="1:13" ht="15" customHeight="1" x14ac:dyDescent="0.75">
      <c r="A46" s="9">
        <v>35</v>
      </c>
      <c r="B46" s="10" t="s">
        <v>70</v>
      </c>
      <c r="C46" s="10" t="s">
        <v>71</v>
      </c>
      <c r="D46" s="39">
        <v>899</v>
      </c>
      <c r="E46" s="39">
        <v>515.82000000000005</v>
      </c>
      <c r="F46" s="12">
        <f t="shared" si="0"/>
        <v>0.22</v>
      </c>
      <c r="G46" s="39">
        <v>539</v>
      </c>
      <c r="H46" s="40">
        <f t="shared" si="1"/>
        <v>773.62352941176471</v>
      </c>
      <c r="I46" s="41">
        <f t="shared" si="2"/>
        <v>779</v>
      </c>
      <c r="J46" s="40">
        <f t="shared" si="3"/>
        <v>542.74590163934431</v>
      </c>
      <c r="K46" s="15">
        <v>10</v>
      </c>
      <c r="L46" s="16">
        <v>1</v>
      </c>
      <c r="M46" s="17"/>
    </row>
    <row r="47" spans="1:13" ht="15" customHeight="1" x14ac:dyDescent="0.75">
      <c r="A47" s="9">
        <v>36</v>
      </c>
      <c r="B47" s="10" t="s">
        <v>72</v>
      </c>
      <c r="C47" s="10" t="s">
        <v>30</v>
      </c>
      <c r="D47" s="21">
        <v>9.99</v>
      </c>
      <c r="E47" s="21">
        <v>5.83</v>
      </c>
      <c r="F47" s="12">
        <f t="shared" si="0"/>
        <v>0.2</v>
      </c>
      <c r="G47" s="21">
        <v>5.6</v>
      </c>
      <c r="H47" s="22">
        <f t="shared" si="1"/>
        <v>7.9058823529411759</v>
      </c>
      <c r="I47" s="23">
        <f t="shared" si="2"/>
        <v>7.99</v>
      </c>
      <c r="J47" s="22">
        <f t="shared" si="3"/>
        <v>5.6595833333333339</v>
      </c>
      <c r="K47" s="15">
        <v>0.5</v>
      </c>
      <c r="L47" s="16">
        <v>0.01</v>
      </c>
      <c r="M47" s="17" t="s">
        <v>73</v>
      </c>
    </row>
    <row r="48" spans="1:13" ht="15" customHeight="1" x14ac:dyDescent="0.75">
      <c r="A48" s="9">
        <v>37</v>
      </c>
      <c r="B48" s="10" t="s">
        <v>74</v>
      </c>
      <c r="C48" s="10" t="s">
        <v>30</v>
      </c>
      <c r="D48" s="21">
        <v>9.99</v>
      </c>
      <c r="E48" s="21">
        <v>5.69</v>
      </c>
      <c r="F48" s="12">
        <f t="shared" si="0"/>
        <v>0.23</v>
      </c>
      <c r="G48" s="21">
        <v>5.49</v>
      </c>
      <c r="H48" s="22">
        <f t="shared" si="1"/>
        <v>7.9443529411764704</v>
      </c>
      <c r="I48" s="23">
        <f t="shared" si="2"/>
        <v>7.99</v>
      </c>
      <c r="J48" s="22">
        <f t="shared" si="3"/>
        <v>5.5215447154471544</v>
      </c>
      <c r="K48" s="15">
        <v>0.5</v>
      </c>
      <c r="L48" s="16">
        <v>0.01</v>
      </c>
      <c r="M48" s="17"/>
    </row>
    <row r="49" spans="1:13" ht="15" customHeight="1" x14ac:dyDescent="0.75">
      <c r="A49" s="9">
        <v>38</v>
      </c>
      <c r="B49" s="10" t="s">
        <v>75</v>
      </c>
      <c r="C49" s="10" t="s">
        <v>30</v>
      </c>
      <c r="D49" s="21">
        <v>9.99</v>
      </c>
      <c r="E49" s="21">
        <v>5.73</v>
      </c>
      <c r="F49" s="12">
        <f t="shared" si="0"/>
        <v>0.22</v>
      </c>
      <c r="G49" s="21">
        <v>7.49</v>
      </c>
      <c r="H49" s="22">
        <f t="shared" si="1"/>
        <v>10.750352941176471</v>
      </c>
      <c r="I49" s="23">
        <f t="shared" si="2"/>
        <v>10.99</v>
      </c>
      <c r="J49" s="22">
        <f t="shared" si="3"/>
        <v>7.6569672131147541</v>
      </c>
      <c r="K49" s="15">
        <v>0.5</v>
      </c>
      <c r="L49" s="16">
        <v>0.01</v>
      </c>
      <c r="M49" s="17"/>
    </row>
    <row r="50" spans="1:13" ht="15" customHeight="1" x14ac:dyDescent="0.75">
      <c r="A50" s="9">
        <v>39</v>
      </c>
      <c r="B50" s="10" t="s">
        <v>76</v>
      </c>
      <c r="C50" s="10" t="s">
        <v>30</v>
      </c>
      <c r="D50" s="21">
        <v>9.99</v>
      </c>
      <c r="E50" s="21">
        <v>5.75</v>
      </c>
      <c r="F50" s="12">
        <f t="shared" si="0"/>
        <v>0.215</v>
      </c>
      <c r="G50" s="21">
        <v>7.49</v>
      </c>
      <c r="H50" s="22">
        <f t="shared" si="1"/>
        <v>10.70629411764706</v>
      </c>
      <c r="I50" s="23">
        <f t="shared" si="2"/>
        <v>10.99</v>
      </c>
      <c r="J50" s="22">
        <f t="shared" si="3"/>
        <v>7.6884773662551433</v>
      </c>
      <c r="K50" s="15">
        <v>0.5</v>
      </c>
      <c r="L50" s="16">
        <v>0.01</v>
      </c>
      <c r="M50" s="17"/>
    </row>
    <row r="51" spans="1:13" ht="15" customHeight="1" x14ac:dyDescent="0.75">
      <c r="A51" s="9">
        <v>40</v>
      </c>
      <c r="B51" s="10" t="s">
        <v>77</v>
      </c>
      <c r="C51" s="10" t="s">
        <v>78</v>
      </c>
      <c r="D51" s="27">
        <v>129</v>
      </c>
      <c r="E51" s="27">
        <v>72.239999999999995</v>
      </c>
      <c r="F51" s="12">
        <f t="shared" si="0"/>
        <v>0.25</v>
      </c>
      <c r="G51" s="27">
        <v>99</v>
      </c>
      <c r="H51" s="28">
        <f t="shared" si="1"/>
        <v>145.58823529411765</v>
      </c>
      <c r="I51" s="29">
        <f t="shared" si="2"/>
        <v>149</v>
      </c>
      <c r="J51" s="28">
        <f t="shared" si="3"/>
        <v>101.32</v>
      </c>
      <c r="K51" s="15">
        <v>10</v>
      </c>
      <c r="L51" s="16">
        <v>1</v>
      </c>
      <c r="M51" s="17"/>
    </row>
    <row r="52" spans="1:13" ht="15" customHeight="1" x14ac:dyDescent="0.75">
      <c r="A52" s="9">
        <v>41</v>
      </c>
      <c r="B52" s="10" t="s">
        <v>79</v>
      </c>
      <c r="C52" s="10" t="s">
        <v>80</v>
      </c>
      <c r="D52" s="42">
        <v>9</v>
      </c>
      <c r="E52" s="42">
        <v>5.83</v>
      </c>
      <c r="F52" s="12">
        <f t="shared" si="0"/>
        <v>0.08</v>
      </c>
      <c r="G52" s="42">
        <v>9.4</v>
      </c>
      <c r="H52" s="43">
        <f t="shared" si="1"/>
        <v>11.943529411764708</v>
      </c>
      <c r="I52" s="44">
        <f t="shared" si="2"/>
        <v>12</v>
      </c>
      <c r="J52" s="43">
        <f t="shared" si="3"/>
        <v>9.4444444444444446</v>
      </c>
      <c r="K52" s="15">
        <v>0.5</v>
      </c>
      <c r="L52" s="16">
        <v>0</v>
      </c>
      <c r="M52" s="17"/>
    </row>
    <row r="53" spans="1:13" ht="15" customHeight="1" x14ac:dyDescent="0.75">
      <c r="A53" s="9">
        <v>42</v>
      </c>
      <c r="B53" s="10" t="s">
        <v>81</v>
      </c>
      <c r="C53" s="10" t="s">
        <v>82</v>
      </c>
      <c r="D53" s="45">
        <v>499.99</v>
      </c>
      <c r="E53" s="45">
        <v>277.08</v>
      </c>
      <c r="F53" s="12">
        <f t="shared" si="0"/>
        <v>0.26500000000000001</v>
      </c>
      <c r="G53" s="45">
        <v>309.99</v>
      </c>
      <c r="H53" s="46">
        <f t="shared" si="1"/>
        <v>461.33805882352942</v>
      </c>
      <c r="I53" s="47">
        <f t="shared" si="2"/>
        <v>469.99</v>
      </c>
      <c r="J53" s="46">
        <f t="shared" si="3"/>
        <v>315.80355731225291</v>
      </c>
      <c r="K53" s="15">
        <v>10</v>
      </c>
      <c r="L53" s="16">
        <v>0.01</v>
      </c>
      <c r="M53" s="17"/>
    </row>
    <row r="54" spans="1:13" ht="15" customHeight="1" x14ac:dyDescent="0.75">
      <c r="A54" s="9">
        <v>43</v>
      </c>
      <c r="B54" s="10" t="s">
        <v>83</v>
      </c>
      <c r="C54" s="10" t="s">
        <v>24</v>
      </c>
      <c r="D54" s="11">
        <v>11.99</v>
      </c>
      <c r="E54" s="11">
        <v>6.99</v>
      </c>
      <c r="F54" s="12">
        <f t="shared" si="0"/>
        <v>0.2</v>
      </c>
      <c r="G54" s="11">
        <v>4.79</v>
      </c>
      <c r="H54" s="13">
        <f t="shared" si="1"/>
        <v>6.7623529411764709</v>
      </c>
      <c r="I54" s="14">
        <f t="shared" si="2"/>
        <v>6.99</v>
      </c>
      <c r="J54" s="13">
        <f t="shared" si="3"/>
        <v>4.9512499999999999</v>
      </c>
      <c r="K54" s="15">
        <v>0.5</v>
      </c>
      <c r="L54" s="16">
        <v>0.01</v>
      </c>
      <c r="M54" s="17" t="s">
        <v>84</v>
      </c>
    </row>
    <row r="55" spans="1:13" ht="15" customHeight="1" x14ac:dyDescent="0.75">
      <c r="A55" s="9">
        <v>44</v>
      </c>
      <c r="B55" s="10" t="s">
        <v>85</v>
      </c>
      <c r="C55" s="10" t="s">
        <v>86</v>
      </c>
      <c r="D55" s="48">
        <v>9.99</v>
      </c>
      <c r="E55" s="48">
        <v>5.79</v>
      </c>
      <c r="F55" s="12">
        <f t="shared" si="0"/>
        <v>0.21</v>
      </c>
      <c r="G55" s="48">
        <v>7.49</v>
      </c>
      <c r="H55" s="49">
        <f t="shared" si="1"/>
        <v>10.662235294117648</v>
      </c>
      <c r="I55" s="50">
        <f t="shared" si="2"/>
        <v>10.99</v>
      </c>
      <c r="J55" s="49">
        <f t="shared" si="3"/>
        <v>7.7202479338842984</v>
      </c>
      <c r="K55" s="15">
        <v>0.5</v>
      </c>
      <c r="L55" s="16">
        <v>0.01</v>
      </c>
      <c r="M55" s="17"/>
    </row>
    <row r="56" spans="1:13" ht="15" customHeight="1" x14ac:dyDescent="0.75">
      <c r="A56" s="208" t="s">
        <v>87</v>
      </c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</row>
    <row r="57" spans="1:13" ht="15" customHeight="1" x14ac:dyDescent="0.75">
      <c r="A57" s="9">
        <v>45</v>
      </c>
      <c r="B57" s="10" t="s">
        <v>88</v>
      </c>
      <c r="C57" s="10" t="s">
        <v>24</v>
      </c>
      <c r="D57" s="11">
        <v>9.99</v>
      </c>
      <c r="E57" s="11">
        <v>7</v>
      </c>
      <c r="F57" s="12">
        <f t="shared" ref="F57:F88" si="4">MAX(0,ROUND((D57*(1-$D$5)/E57-1)/0.005,0)*0.005)</f>
        <v>0</v>
      </c>
      <c r="G57" s="11">
        <v>1.49</v>
      </c>
      <c r="H57" s="13">
        <f t="shared" ref="H57:H88" si="5">G57/(1-$D$4)*(1+F57)</f>
        <v>1.7529411764705882</v>
      </c>
      <c r="I57" s="14">
        <f t="shared" ref="I57:I88" si="6">CEILING(H57+L57,K57)-L57</f>
        <v>1.99</v>
      </c>
      <c r="J57" s="13">
        <f t="shared" ref="J57:J88" si="7">I57/(1+F57)*(1-$D$4)</f>
        <v>1.6915</v>
      </c>
      <c r="K57" s="15">
        <v>0.5</v>
      </c>
      <c r="L57" s="16">
        <v>0.01</v>
      </c>
      <c r="M57" s="17"/>
    </row>
    <row r="58" spans="1:13" ht="15" customHeight="1" x14ac:dyDescent="0.75">
      <c r="A58" s="9">
        <v>46</v>
      </c>
      <c r="B58" s="10" t="s">
        <v>89</v>
      </c>
      <c r="C58" s="10" t="s">
        <v>24</v>
      </c>
      <c r="D58" s="11">
        <v>9.99</v>
      </c>
      <c r="E58" s="11">
        <v>7</v>
      </c>
      <c r="F58" s="12">
        <f t="shared" si="4"/>
        <v>0</v>
      </c>
      <c r="G58" s="11">
        <v>4.8600000000000003</v>
      </c>
      <c r="H58" s="13">
        <f t="shared" si="5"/>
        <v>5.7176470588235295</v>
      </c>
      <c r="I58" s="14">
        <f t="shared" si="6"/>
        <v>5.99</v>
      </c>
      <c r="J58" s="13">
        <f t="shared" si="7"/>
        <v>5.0914999999999999</v>
      </c>
      <c r="K58" s="15">
        <v>0.5</v>
      </c>
      <c r="L58" s="16">
        <v>0.01</v>
      </c>
      <c r="M58" s="17" t="s">
        <v>90</v>
      </c>
    </row>
    <row r="59" spans="1:13" ht="15" customHeight="1" x14ac:dyDescent="0.75">
      <c r="A59" s="9">
        <v>47</v>
      </c>
      <c r="B59" s="10" t="s">
        <v>91</v>
      </c>
      <c r="C59" s="10" t="s">
        <v>24</v>
      </c>
      <c r="D59" s="11">
        <v>9.99</v>
      </c>
      <c r="E59" s="11">
        <v>7</v>
      </c>
      <c r="F59" s="12">
        <f t="shared" si="4"/>
        <v>0</v>
      </c>
      <c r="G59" s="11">
        <v>3.49</v>
      </c>
      <c r="H59" s="13">
        <f t="shared" si="5"/>
        <v>4.105882352941177</v>
      </c>
      <c r="I59" s="14">
        <f t="shared" si="6"/>
        <v>4.49</v>
      </c>
      <c r="J59" s="13">
        <f t="shared" si="7"/>
        <v>3.8165</v>
      </c>
      <c r="K59" s="15">
        <v>0.5</v>
      </c>
      <c r="L59" s="16">
        <v>0.01</v>
      </c>
      <c r="M59" s="17"/>
    </row>
    <row r="60" spans="1:13" ht="15" customHeight="1" x14ac:dyDescent="0.75">
      <c r="A60" s="9">
        <v>48</v>
      </c>
      <c r="B60" s="10" t="s">
        <v>92</v>
      </c>
      <c r="C60" s="10" t="s">
        <v>24</v>
      </c>
      <c r="D60" s="11">
        <v>11.99</v>
      </c>
      <c r="E60" s="11">
        <v>6.99</v>
      </c>
      <c r="F60" s="12">
        <f t="shared" si="4"/>
        <v>0.2</v>
      </c>
      <c r="G60" s="11">
        <v>6.49</v>
      </c>
      <c r="H60" s="13">
        <f t="shared" si="5"/>
        <v>9.1623529411764704</v>
      </c>
      <c r="I60" s="14">
        <f t="shared" si="6"/>
        <v>9.49</v>
      </c>
      <c r="J60" s="13">
        <f t="shared" si="7"/>
        <v>6.7220833333333339</v>
      </c>
      <c r="K60" s="15">
        <v>0.5</v>
      </c>
      <c r="L60" s="16">
        <v>0.01</v>
      </c>
      <c r="M60" s="17"/>
    </row>
    <row r="61" spans="1:13" ht="15" customHeight="1" x14ac:dyDescent="0.75">
      <c r="A61" s="9">
        <v>49</v>
      </c>
      <c r="B61" s="10" t="s">
        <v>93</v>
      </c>
      <c r="C61" s="10" t="s">
        <v>24</v>
      </c>
      <c r="D61" s="11">
        <v>11.99</v>
      </c>
      <c r="E61" s="11">
        <v>7.11</v>
      </c>
      <c r="F61" s="12">
        <f t="shared" si="4"/>
        <v>0.18</v>
      </c>
      <c r="G61" s="11">
        <v>6.49</v>
      </c>
      <c r="H61" s="13">
        <f t="shared" si="5"/>
        <v>9.0096470588235302</v>
      </c>
      <c r="I61" s="14">
        <f t="shared" si="6"/>
        <v>9.49</v>
      </c>
      <c r="J61" s="13">
        <f t="shared" si="7"/>
        <v>6.8360169491525422</v>
      </c>
      <c r="K61" s="15">
        <v>0.5</v>
      </c>
      <c r="L61" s="16">
        <v>0.01</v>
      </c>
      <c r="M61" s="17"/>
    </row>
    <row r="62" spans="1:13" ht="15" customHeight="1" x14ac:dyDescent="0.75">
      <c r="A62" s="9">
        <v>50</v>
      </c>
      <c r="B62" s="10" t="s">
        <v>94</v>
      </c>
      <c r="C62" s="10" t="s">
        <v>24</v>
      </c>
      <c r="D62" s="11">
        <v>9.99</v>
      </c>
      <c r="E62" s="11">
        <v>6.36</v>
      </c>
      <c r="F62" s="12">
        <f t="shared" si="4"/>
        <v>0.1</v>
      </c>
      <c r="G62" s="11">
        <v>8.49</v>
      </c>
      <c r="H62" s="13">
        <f t="shared" si="5"/>
        <v>10.987058823529413</v>
      </c>
      <c r="I62" s="14">
        <f t="shared" si="6"/>
        <v>10.99</v>
      </c>
      <c r="J62" s="13">
        <f t="shared" si="7"/>
        <v>8.4922727272727272</v>
      </c>
      <c r="K62" s="15">
        <v>0.5</v>
      </c>
      <c r="L62" s="16">
        <v>0.01</v>
      </c>
      <c r="M62" s="17"/>
    </row>
    <row r="63" spans="1:13" ht="15" customHeight="1" x14ac:dyDescent="0.75">
      <c r="A63" s="9">
        <v>51</v>
      </c>
      <c r="B63" s="10" t="s">
        <v>95</v>
      </c>
      <c r="C63" s="10" t="s">
        <v>24</v>
      </c>
      <c r="D63" s="11">
        <v>11.99</v>
      </c>
      <c r="E63" s="11">
        <v>7.11</v>
      </c>
      <c r="F63" s="12">
        <f t="shared" si="4"/>
        <v>0.18</v>
      </c>
      <c r="G63" s="11">
        <v>2.84</v>
      </c>
      <c r="H63" s="13">
        <f t="shared" si="5"/>
        <v>3.9425882352941177</v>
      </c>
      <c r="I63" s="14">
        <f t="shared" si="6"/>
        <v>3.99</v>
      </c>
      <c r="J63" s="13">
        <f t="shared" si="7"/>
        <v>2.8741525423728818</v>
      </c>
      <c r="K63" s="15">
        <v>0.5</v>
      </c>
      <c r="L63" s="16">
        <v>0.01</v>
      </c>
      <c r="M63" s="17" t="s">
        <v>96</v>
      </c>
    </row>
    <row r="64" spans="1:13" ht="15" customHeight="1" x14ac:dyDescent="0.75">
      <c r="A64" s="9">
        <v>52</v>
      </c>
      <c r="B64" s="10" t="s">
        <v>97</v>
      </c>
      <c r="C64" s="10" t="s">
        <v>24</v>
      </c>
      <c r="D64" s="11">
        <v>9.99</v>
      </c>
      <c r="E64" s="11">
        <v>7</v>
      </c>
      <c r="F64" s="12">
        <f t="shared" si="4"/>
        <v>0</v>
      </c>
      <c r="G64" s="11">
        <v>4.99</v>
      </c>
      <c r="H64" s="13">
        <f t="shared" si="5"/>
        <v>5.8705882352941181</v>
      </c>
      <c r="I64" s="14">
        <f t="shared" si="6"/>
        <v>5.99</v>
      </c>
      <c r="J64" s="13">
        <f t="shared" si="7"/>
        <v>5.0914999999999999</v>
      </c>
      <c r="K64" s="15">
        <v>0.5</v>
      </c>
      <c r="L64" s="16">
        <v>0.01</v>
      </c>
      <c r="M64" s="17"/>
    </row>
    <row r="65" spans="1:13" ht="15" customHeight="1" x14ac:dyDescent="0.75">
      <c r="A65" s="9">
        <v>53</v>
      </c>
      <c r="B65" s="10" t="s">
        <v>98</v>
      </c>
      <c r="C65" s="10" t="s">
        <v>24</v>
      </c>
      <c r="D65" s="11">
        <v>9.99</v>
      </c>
      <c r="E65" s="11">
        <v>7</v>
      </c>
      <c r="F65" s="12">
        <f t="shared" si="4"/>
        <v>0</v>
      </c>
      <c r="G65" s="11">
        <v>1.7</v>
      </c>
      <c r="H65" s="13">
        <f t="shared" si="5"/>
        <v>2</v>
      </c>
      <c r="I65" s="14">
        <f t="shared" si="6"/>
        <v>2.4900000000000002</v>
      </c>
      <c r="J65" s="13">
        <f t="shared" si="7"/>
        <v>2.1165000000000003</v>
      </c>
      <c r="K65" s="15">
        <v>0.5</v>
      </c>
      <c r="L65" s="16">
        <v>0.01</v>
      </c>
      <c r="M65" s="17" t="s">
        <v>99</v>
      </c>
    </row>
    <row r="66" spans="1:13" ht="15" customHeight="1" x14ac:dyDescent="0.75">
      <c r="A66" s="9">
        <v>54</v>
      </c>
      <c r="B66" s="10" t="s">
        <v>100</v>
      </c>
      <c r="C66" s="10" t="s">
        <v>24</v>
      </c>
      <c r="D66" s="11">
        <v>11.99</v>
      </c>
      <c r="E66" s="11">
        <v>7.04</v>
      </c>
      <c r="F66" s="12">
        <f t="shared" si="4"/>
        <v>0.19</v>
      </c>
      <c r="G66" s="11">
        <v>2.61</v>
      </c>
      <c r="H66" s="13">
        <f t="shared" si="5"/>
        <v>3.6539999999999995</v>
      </c>
      <c r="I66" s="14">
        <f t="shared" si="6"/>
        <v>3.99</v>
      </c>
      <c r="J66" s="13">
        <f t="shared" si="7"/>
        <v>2.8500000000000005</v>
      </c>
      <c r="K66" s="15">
        <v>0.5</v>
      </c>
      <c r="L66" s="16">
        <v>0.01</v>
      </c>
      <c r="M66" s="17" t="s">
        <v>101</v>
      </c>
    </row>
    <row r="67" spans="1:13" ht="15" customHeight="1" x14ac:dyDescent="0.75">
      <c r="A67" s="9">
        <v>55</v>
      </c>
      <c r="B67" s="10" t="s">
        <v>102</v>
      </c>
      <c r="C67" s="10" t="s">
        <v>24</v>
      </c>
      <c r="D67" s="11">
        <v>9.99</v>
      </c>
      <c r="E67" s="11">
        <v>7</v>
      </c>
      <c r="F67" s="12">
        <f t="shared" si="4"/>
        <v>0</v>
      </c>
      <c r="G67" s="11">
        <v>3.49</v>
      </c>
      <c r="H67" s="13">
        <f t="shared" si="5"/>
        <v>4.105882352941177</v>
      </c>
      <c r="I67" s="14">
        <f t="shared" si="6"/>
        <v>4.49</v>
      </c>
      <c r="J67" s="13">
        <f t="shared" si="7"/>
        <v>3.8165</v>
      </c>
      <c r="K67" s="15">
        <v>0.5</v>
      </c>
      <c r="L67" s="16">
        <v>0.01</v>
      </c>
      <c r="M67" s="17"/>
    </row>
    <row r="68" spans="1:13" ht="15" customHeight="1" x14ac:dyDescent="0.75">
      <c r="A68" s="9">
        <v>56</v>
      </c>
      <c r="B68" s="10" t="s">
        <v>103</v>
      </c>
      <c r="C68" s="10" t="s">
        <v>24</v>
      </c>
      <c r="D68" s="11">
        <v>9.99</v>
      </c>
      <c r="E68" s="11">
        <v>7</v>
      </c>
      <c r="F68" s="12">
        <f t="shared" si="4"/>
        <v>0</v>
      </c>
      <c r="G68" s="11">
        <v>1.49</v>
      </c>
      <c r="H68" s="13">
        <f t="shared" si="5"/>
        <v>1.7529411764705882</v>
      </c>
      <c r="I68" s="14">
        <f t="shared" si="6"/>
        <v>1.99</v>
      </c>
      <c r="J68" s="13">
        <f t="shared" si="7"/>
        <v>1.6915</v>
      </c>
      <c r="K68" s="15">
        <v>0.5</v>
      </c>
      <c r="L68" s="16">
        <v>0.01</v>
      </c>
      <c r="M68" s="17"/>
    </row>
    <row r="69" spans="1:13" ht="15" customHeight="1" x14ac:dyDescent="0.75">
      <c r="A69" s="9">
        <v>57</v>
      </c>
      <c r="B69" s="10" t="s">
        <v>104</v>
      </c>
      <c r="C69" s="10" t="s">
        <v>24</v>
      </c>
      <c r="D69" s="11">
        <v>9.99</v>
      </c>
      <c r="E69" s="11">
        <v>7</v>
      </c>
      <c r="F69" s="12">
        <f t="shared" si="4"/>
        <v>0</v>
      </c>
      <c r="G69" s="11">
        <v>1.49</v>
      </c>
      <c r="H69" s="13">
        <f t="shared" si="5"/>
        <v>1.7529411764705882</v>
      </c>
      <c r="I69" s="14">
        <f t="shared" si="6"/>
        <v>1.99</v>
      </c>
      <c r="J69" s="13">
        <f t="shared" si="7"/>
        <v>1.6915</v>
      </c>
      <c r="K69" s="15">
        <v>0.5</v>
      </c>
      <c r="L69" s="16">
        <v>0.01</v>
      </c>
      <c r="M69" s="17"/>
    </row>
    <row r="70" spans="1:13" ht="15" customHeight="1" x14ac:dyDescent="0.75">
      <c r="A70" s="9">
        <v>58</v>
      </c>
      <c r="B70" s="10" t="s">
        <v>105</v>
      </c>
      <c r="C70" s="10" t="s">
        <v>24</v>
      </c>
      <c r="D70" s="11">
        <v>11.99</v>
      </c>
      <c r="E70" s="11">
        <v>7.11</v>
      </c>
      <c r="F70" s="12">
        <f t="shared" si="4"/>
        <v>0.18</v>
      </c>
      <c r="G70" s="11">
        <v>2.4900000000000002</v>
      </c>
      <c r="H70" s="13">
        <f t="shared" si="5"/>
        <v>3.4567058823529413</v>
      </c>
      <c r="I70" s="14">
        <f t="shared" si="6"/>
        <v>3.49</v>
      </c>
      <c r="J70" s="13">
        <f t="shared" si="7"/>
        <v>2.5139830508474579</v>
      </c>
      <c r="K70" s="15">
        <v>0.5</v>
      </c>
      <c r="L70" s="16">
        <v>0.01</v>
      </c>
      <c r="M70" s="17"/>
    </row>
    <row r="71" spans="1:13" ht="15" customHeight="1" x14ac:dyDescent="0.75">
      <c r="A71" s="9">
        <v>59</v>
      </c>
      <c r="B71" s="10" t="s">
        <v>106</v>
      </c>
      <c r="C71" s="10" t="s">
        <v>24</v>
      </c>
      <c r="D71" s="11">
        <v>11.99</v>
      </c>
      <c r="E71" s="11">
        <v>7.11</v>
      </c>
      <c r="F71" s="12">
        <f t="shared" si="4"/>
        <v>0.18</v>
      </c>
      <c r="G71" s="11">
        <v>2.61</v>
      </c>
      <c r="H71" s="13">
        <f t="shared" si="5"/>
        <v>3.6232941176470583</v>
      </c>
      <c r="I71" s="14">
        <f t="shared" si="6"/>
        <v>3.99</v>
      </c>
      <c r="J71" s="13">
        <f t="shared" si="7"/>
        <v>2.8741525423728818</v>
      </c>
      <c r="K71" s="15">
        <v>0.5</v>
      </c>
      <c r="L71" s="16">
        <v>0.01</v>
      </c>
      <c r="M71" s="17" t="s">
        <v>101</v>
      </c>
    </row>
    <row r="72" spans="1:13" ht="15" customHeight="1" x14ac:dyDescent="0.75">
      <c r="A72" s="9">
        <v>60</v>
      </c>
      <c r="B72" s="10" t="s">
        <v>107</v>
      </c>
      <c r="C72" s="10" t="s">
        <v>108</v>
      </c>
      <c r="D72" s="51">
        <v>499.99</v>
      </c>
      <c r="E72" s="51">
        <v>307.01</v>
      </c>
      <c r="F72" s="12">
        <f t="shared" si="4"/>
        <v>0.14000000000000001</v>
      </c>
      <c r="G72" s="51">
        <v>249</v>
      </c>
      <c r="H72" s="52">
        <f t="shared" si="5"/>
        <v>333.95294117647063</v>
      </c>
      <c r="I72" s="53">
        <f t="shared" si="6"/>
        <v>339.99</v>
      </c>
      <c r="J72" s="52">
        <f t="shared" si="7"/>
        <v>253.50131578947364</v>
      </c>
      <c r="K72" s="15">
        <v>10</v>
      </c>
      <c r="L72" s="16">
        <v>0.01</v>
      </c>
      <c r="M72" s="17"/>
    </row>
    <row r="73" spans="1:13" ht="15" customHeight="1" x14ac:dyDescent="0.75">
      <c r="A73" s="9">
        <v>61</v>
      </c>
      <c r="B73" s="10" t="s">
        <v>109</v>
      </c>
      <c r="C73" s="10" t="s">
        <v>24</v>
      </c>
      <c r="D73" s="11">
        <v>9.99</v>
      </c>
      <c r="E73" s="11">
        <v>7</v>
      </c>
      <c r="F73" s="12">
        <f t="shared" si="4"/>
        <v>0</v>
      </c>
      <c r="G73" s="11">
        <v>3.49</v>
      </c>
      <c r="H73" s="13">
        <f t="shared" si="5"/>
        <v>4.105882352941177</v>
      </c>
      <c r="I73" s="14">
        <f t="shared" si="6"/>
        <v>4.49</v>
      </c>
      <c r="J73" s="13">
        <f t="shared" si="7"/>
        <v>3.8165</v>
      </c>
      <c r="K73" s="15">
        <v>0.5</v>
      </c>
      <c r="L73" s="16">
        <v>0.01</v>
      </c>
      <c r="M73" s="17"/>
    </row>
    <row r="74" spans="1:13" ht="15" customHeight="1" x14ac:dyDescent="0.75">
      <c r="A74" s="9">
        <v>62</v>
      </c>
      <c r="B74" s="10" t="s">
        <v>110</v>
      </c>
      <c r="C74" s="10" t="s">
        <v>24</v>
      </c>
      <c r="D74" s="11">
        <v>9.99</v>
      </c>
      <c r="E74" s="11">
        <v>7</v>
      </c>
      <c r="F74" s="12">
        <f t="shared" si="4"/>
        <v>0</v>
      </c>
      <c r="G74" s="11">
        <v>4.55</v>
      </c>
      <c r="H74" s="13">
        <f t="shared" si="5"/>
        <v>5.3529411764705879</v>
      </c>
      <c r="I74" s="14">
        <f t="shared" si="6"/>
        <v>5.49</v>
      </c>
      <c r="J74" s="13">
        <f t="shared" si="7"/>
        <v>4.6665000000000001</v>
      </c>
      <c r="K74" s="15">
        <v>0.5</v>
      </c>
      <c r="L74" s="16">
        <v>0.01</v>
      </c>
      <c r="M74" s="17" t="s">
        <v>111</v>
      </c>
    </row>
    <row r="75" spans="1:13" ht="15" customHeight="1" x14ac:dyDescent="0.75">
      <c r="A75" s="9">
        <v>63</v>
      </c>
      <c r="B75" s="10" t="s">
        <v>112</v>
      </c>
      <c r="C75" s="10" t="s">
        <v>24</v>
      </c>
      <c r="D75" s="11">
        <v>9.99</v>
      </c>
      <c r="E75" s="11">
        <v>7</v>
      </c>
      <c r="F75" s="12">
        <f t="shared" si="4"/>
        <v>0</v>
      </c>
      <c r="G75" s="11">
        <v>1.49</v>
      </c>
      <c r="H75" s="13">
        <f t="shared" si="5"/>
        <v>1.7529411764705882</v>
      </c>
      <c r="I75" s="14">
        <f t="shared" si="6"/>
        <v>1.99</v>
      </c>
      <c r="J75" s="13">
        <f t="shared" si="7"/>
        <v>1.6915</v>
      </c>
      <c r="K75" s="15">
        <v>0.5</v>
      </c>
      <c r="L75" s="16">
        <v>0.01</v>
      </c>
      <c r="M75" s="17"/>
    </row>
    <row r="76" spans="1:13" ht="15" customHeight="1" x14ac:dyDescent="0.75">
      <c r="A76" s="9">
        <v>64</v>
      </c>
      <c r="B76" s="10" t="s">
        <v>113</v>
      </c>
      <c r="C76" s="10" t="s">
        <v>24</v>
      </c>
      <c r="D76" s="11">
        <v>11.99</v>
      </c>
      <c r="E76" s="11">
        <v>7.11</v>
      </c>
      <c r="F76" s="12">
        <f t="shared" si="4"/>
        <v>0.18</v>
      </c>
      <c r="G76" s="11">
        <v>6.51</v>
      </c>
      <c r="H76" s="13">
        <f t="shared" si="5"/>
        <v>9.0374117647058831</v>
      </c>
      <c r="I76" s="14">
        <f t="shared" si="6"/>
        <v>9.49</v>
      </c>
      <c r="J76" s="13">
        <f t="shared" si="7"/>
        <v>6.8360169491525422</v>
      </c>
      <c r="K76" s="15">
        <v>0.5</v>
      </c>
      <c r="L76" s="16">
        <v>0.01</v>
      </c>
      <c r="M76" s="17" t="s">
        <v>114</v>
      </c>
    </row>
    <row r="77" spans="1:13" ht="15" customHeight="1" x14ac:dyDescent="0.75">
      <c r="A77" s="9">
        <v>65</v>
      </c>
      <c r="B77" s="10" t="s">
        <v>115</v>
      </c>
      <c r="C77" s="10" t="s">
        <v>24</v>
      </c>
      <c r="D77" s="11">
        <v>11.99</v>
      </c>
      <c r="E77" s="11">
        <v>6.99</v>
      </c>
      <c r="F77" s="12">
        <f t="shared" si="4"/>
        <v>0.2</v>
      </c>
      <c r="G77" s="11">
        <v>2.59</v>
      </c>
      <c r="H77" s="13">
        <f t="shared" si="5"/>
        <v>3.6564705882352939</v>
      </c>
      <c r="I77" s="14">
        <f t="shared" si="6"/>
        <v>3.99</v>
      </c>
      <c r="J77" s="13">
        <f t="shared" si="7"/>
        <v>2.8262499999999999</v>
      </c>
      <c r="K77" s="15">
        <v>0.5</v>
      </c>
      <c r="L77" s="16">
        <v>0.01</v>
      </c>
      <c r="M77" s="17" t="s">
        <v>116</v>
      </c>
    </row>
    <row r="78" spans="1:13" ht="15" customHeight="1" x14ac:dyDescent="0.75">
      <c r="A78" s="9">
        <v>66</v>
      </c>
      <c r="B78" s="10" t="s">
        <v>117</v>
      </c>
      <c r="C78" s="10" t="s">
        <v>24</v>
      </c>
      <c r="D78" s="11">
        <v>9.99</v>
      </c>
      <c r="E78" s="11">
        <v>7</v>
      </c>
      <c r="F78" s="12">
        <f t="shared" si="4"/>
        <v>0</v>
      </c>
      <c r="G78" s="11">
        <v>1.7</v>
      </c>
      <c r="H78" s="13">
        <f t="shared" si="5"/>
        <v>2</v>
      </c>
      <c r="I78" s="14">
        <f t="shared" si="6"/>
        <v>2.4900000000000002</v>
      </c>
      <c r="J78" s="13">
        <f t="shared" si="7"/>
        <v>2.1165000000000003</v>
      </c>
      <c r="K78" s="15">
        <v>0.5</v>
      </c>
      <c r="L78" s="16">
        <v>0.01</v>
      </c>
      <c r="M78" s="17" t="s">
        <v>99</v>
      </c>
    </row>
    <row r="79" spans="1:13" ht="15" customHeight="1" x14ac:dyDescent="0.75">
      <c r="A79" s="9">
        <v>67</v>
      </c>
      <c r="B79" s="10" t="s">
        <v>118</v>
      </c>
      <c r="C79" s="10" t="s">
        <v>119</v>
      </c>
      <c r="D79" s="54">
        <v>999</v>
      </c>
      <c r="E79" s="54">
        <v>592.63</v>
      </c>
      <c r="F79" s="12">
        <f t="shared" si="4"/>
        <v>0.18</v>
      </c>
      <c r="G79" s="54">
        <v>340</v>
      </c>
      <c r="H79" s="55">
        <f t="shared" si="5"/>
        <v>472</v>
      </c>
      <c r="I79" s="56">
        <f t="shared" si="6"/>
        <v>479</v>
      </c>
      <c r="J79" s="55">
        <f t="shared" si="7"/>
        <v>345.04237288135596</v>
      </c>
      <c r="K79" s="15">
        <v>10</v>
      </c>
      <c r="L79" s="16">
        <v>1</v>
      </c>
      <c r="M79" s="17"/>
    </row>
    <row r="80" spans="1:13" ht="15" customHeight="1" x14ac:dyDescent="0.75">
      <c r="A80" s="9">
        <v>68</v>
      </c>
      <c r="B80" s="10" t="s">
        <v>120</v>
      </c>
      <c r="C80" s="10" t="s">
        <v>24</v>
      </c>
      <c r="D80" s="11">
        <v>9.99</v>
      </c>
      <c r="E80" s="11">
        <v>7</v>
      </c>
      <c r="F80" s="12">
        <f t="shared" si="4"/>
        <v>0</v>
      </c>
      <c r="G80" s="11">
        <v>4.8099999999999996</v>
      </c>
      <c r="H80" s="13">
        <f t="shared" si="5"/>
        <v>5.6588235294117641</v>
      </c>
      <c r="I80" s="14">
        <f t="shared" si="6"/>
        <v>5.99</v>
      </c>
      <c r="J80" s="13">
        <f t="shared" si="7"/>
        <v>5.0914999999999999</v>
      </c>
      <c r="K80" s="15">
        <v>0.5</v>
      </c>
      <c r="L80" s="16">
        <v>0.01</v>
      </c>
      <c r="M80" s="17" t="s">
        <v>121</v>
      </c>
    </row>
    <row r="81" spans="1:13" ht="15" customHeight="1" x14ac:dyDescent="0.75">
      <c r="A81" s="9">
        <v>69</v>
      </c>
      <c r="B81" s="10" t="s">
        <v>122</v>
      </c>
      <c r="C81" s="10" t="s">
        <v>123</v>
      </c>
      <c r="D81" s="57">
        <v>29.9</v>
      </c>
      <c r="E81" s="57">
        <v>20.93</v>
      </c>
      <c r="F81" s="12">
        <f t="shared" si="4"/>
        <v>0</v>
      </c>
      <c r="G81" s="57">
        <v>25.9</v>
      </c>
      <c r="H81" s="58">
        <f t="shared" si="5"/>
        <v>30.470588235294116</v>
      </c>
      <c r="I81" s="59">
        <f t="shared" si="6"/>
        <v>30.9</v>
      </c>
      <c r="J81" s="58">
        <f t="shared" si="7"/>
        <v>26.264999999999997</v>
      </c>
      <c r="K81" s="15">
        <v>1</v>
      </c>
      <c r="L81" s="16">
        <v>0.1</v>
      </c>
      <c r="M81" s="17"/>
    </row>
    <row r="82" spans="1:13" ht="15" customHeight="1" x14ac:dyDescent="0.75">
      <c r="A82" s="9">
        <v>70</v>
      </c>
      <c r="B82" s="10" t="s">
        <v>124</v>
      </c>
      <c r="C82" s="10" t="s">
        <v>24</v>
      </c>
      <c r="D82" s="11">
        <v>9.99</v>
      </c>
      <c r="E82" s="11">
        <v>7</v>
      </c>
      <c r="F82" s="12">
        <f t="shared" si="4"/>
        <v>0</v>
      </c>
      <c r="G82" s="11">
        <v>3.51</v>
      </c>
      <c r="H82" s="13">
        <f t="shared" si="5"/>
        <v>4.1294117647058819</v>
      </c>
      <c r="I82" s="14">
        <f t="shared" si="6"/>
        <v>4.49</v>
      </c>
      <c r="J82" s="13">
        <f t="shared" si="7"/>
        <v>3.8165</v>
      </c>
      <c r="K82" s="15">
        <v>0.5</v>
      </c>
      <c r="L82" s="16">
        <v>0.01</v>
      </c>
      <c r="M82" s="17" t="s">
        <v>125</v>
      </c>
    </row>
    <row r="83" spans="1:13" ht="15" customHeight="1" x14ac:dyDescent="0.75">
      <c r="A83" s="9">
        <v>71</v>
      </c>
      <c r="B83" s="10" t="s">
        <v>126</v>
      </c>
      <c r="C83" s="10" t="s">
        <v>24</v>
      </c>
      <c r="D83" s="11">
        <v>11.99</v>
      </c>
      <c r="E83" s="11">
        <v>7.2</v>
      </c>
      <c r="F83" s="12">
        <f t="shared" si="4"/>
        <v>0.16500000000000001</v>
      </c>
      <c r="G83" s="11">
        <v>2.63</v>
      </c>
      <c r="H83" s="13">
        <f t="shared" si="5"/>
        <v>3.6046470588235295</v>
      </c>
      <c r="I83" s="14">
        <f t="shared" si="6"/>
        <v>3.99</v>
      </c>
      <c r="J83" s="13">
        <f t="shared" si="7"/>
        <v>2.9111587982832616</v>
      </c>
      <c r="K83" s="15">
        <v>0.5</v>
      </c>
      <c r="L83" s="16">
        <v>0.01</v>
      </c>
      <c r="M83" s="17" t="s">
        <v>127</v>
      </c>
    </row>
    <row r="84" spans="1:13" ht="15" customHeight="1" x14ac:dyDescent="0.75">
      <c r="A84" s="9">
        <v>72</v>
      </c>
      <c r="B84" s="10" t="s">
        <v>128</v>
      </c>
      <c r="C84" s="10" t="s">
        <v>24</v>
      </c>
      <c r="D84" s="11">
        <v>9.99</v>
      </c>
      <c r="E84" s="11">
        <v>7</v>
      </c>
      <c r="F84" s="12">
        <f t="shared" si="4"/>
        <v>0</v>
      </c>
      <c r="G84" s="11">
        <v>8.49</v>
      </c>
      <c r="H84" s="13">
        <f t="shared" si="5"/>
        <v>9.9882352941176471</v>
      </c>
      <c r="I84" s="14">
        <f t="shared" si="6"/>
        <v>9.99</v>
      </c>
      <c r="J84" s="13">
        <f t="shared" si="7"/>
        <v>8.4915000000000003</v>
      </c>
      <c r="K84" s="15">
        <v>0.5</v>
      </c>
      <c r="L84" s="16">
        <v>0.01</v>
      </c>
      <c r="M84" s="17"/>
    </row>
    <row r="85" spans="1:13" ht="15" customHeight="1" x14ac:dyDescent="0.75">
      <c r="A85" s="9">
        <v>73</v>
      </c>
      <c r="B85" s="10" t="s">
        <v>129</v>
      </c>
      <c r="C85" s="10" t="s">
        <v>24</v>
      </c>
      <c r="D85" s="11">
        <v>9.99</v>
      </c>
      <c r="E85" s="11">
        <v>7</v>
      </c>
      <c r="F85" s="12">
        <f t="shared" si="4"/>
        <v>0</v>
      </c>
      <c r="G85" s="11">
        <v>3.49</v>
      </c>
      <c r="H85" s="13">
        <f t="shared" si="5"/>
        <v>4.105882352941177</v>
      </c>
      <c r="I85" s="14">
        <f t="shared" si="6"/>
        <v>4.49</v>
      </c>
      <c r="J85" s="13">
        <f t="shared" si="7"/>
        <v>3.8165</v>
      </c>
      <c r="K85" s="15">
        <v>0.5</v>
      </c>
      <c r="L85" s="16">
        <v>0.01</v>
      </c>
      <c r="M85" s="17"/>
    </row>
    <row r="86" spans="1:13" ht="15" customHeight="1" x14ac:dyDescent="0.75">
      <c r="A86" s="9">
        <v>74</v>
      </c>
      <c r="B86" s="10" t="s">
        <v>130</v>
      </c>
      <c r="C86" s="10" t="s">
        <v>24</v>
      </c>
      <c r="D86" s="11">
        <v>9.99</v>
      </c>
      <c r="E86" s="11">
        <v>7</v>
      </c>
      <c r="F86" s="12">
        <f t="shared" si="4"/>
        <v>0</v>
      </c>
      <c r="G86" s="11">
        <v>1.49</v>
      </c>
      <c r="H86" s="13">
        <f t="shared" si="5"/>
        <v>1.7529411764705882</v>
      </c>
      <c r="I86" s="14">
        <f t="shared" si="6"/>
        <v>1.99</v>
      </c>
      <c r="J86" s="13">
        <f t="shared" si="7"/>
        <v>1.6915</v>
      </c>
      <c r="K86" s="15">
        <v>0.5</v>
      </c>
      <c r="L86" s="16">
        <v>0.01</v>
      </c>
      <c r="M86" s="17"/>
    </row>
    <row r="87" spans="1:13" ht="15" customHeight="1" x14ac:dyDescent="0.75">
      <c r="A87" s="9">
        <v>75</v>
      </c>
      <c r="B87" s="10" t="s">
        <v>131</v>
      </c>
      <c r="C87" s="10" t="s">
        <v>24</v>
      </c>
      <c r="D87" s="11">
        <v>9.99</v>
      </c>
      <c r="E87" s="11">
        <v>7</v>
      </c>
      <c r="F87" s="12">
        <f t="shared" si="4"/>
        <v>0</v>
      </c>
      <c r="G87" s="11">
        <v>4.99</v>
      </c>
      <c r="H87" s="13">
        <f t="shared" si="5"/>
        <v>5.8705882352941181</v>
      </c>
      <c r="I87" s="14">
        <f t="shared" si="6"/>
        <v>5.99</v>
      </c>
      <c r="J87" s="13">
        <f t="shared" si="7"/>
        <v>5.0914999999999999</v>
      </c>
      <c r="K87" s="15">
        <v>0.5</v>
      </c>
      <c r="L87" s="16">
        <v>0.01</v>
      </c>
      <c r="M87" s="17"/>
    </row>
    <row r="88" spans="1:13" ht="15" customHeight="1" x14ac:dyDescent="0.75">
      <c r="A88" s="9">
        <v>76</v>
      </c>
      <c r="B88" s="10" t="s">
        <v>132</v>
      </c>
      <c r="C88" s="10" t="s">
        <v>24</v>
      </c>
      <c r="D88" s="11">
        <v>9.99</v>
      </c>
      <c r="E88" s="11">
        <v>7</v>
      </c>
      <c r="F88" s="12">
        <f t="shared" si="4"/>
        <v>0</v>
      </c>
      <c r="G88" s="11">
        <v>1.49</v>
      </c>
      <c r="H88" s="13">
        <f t="shared" si="5"/>
        <v>1.7529411764705882</v>
      </c>
      <c r="I88" s="14">
        <f t="shared" si="6"/>
        <v>1.99</v>
      </c>
      <c r="J88" s="13">
        <f t="shared" si="7"/>
        <v>1.6915</v>
      </c>
      <c r="K88" s="15">
        <v>0.5</v>
      </c>
      <c r="L88" s="16">
        <v>0.01</v>
      </c>
      <c r="M88" s="17"/>
    </row>
    <row r="89" spans="1:13" ht="15" customHeight="1" x14ac:dyDescent="0.75">
      <c r="A89" s="9">
        <v>77</v>
      </c>
      <c r="B89" s="10" t="s">
        <v>133</v>
      </c>
      <c r="C89" s="10" t="s">
        <v>24</v>
      </c>
      <c r="D89" s="11">
        <v>9.99</v>
      </c>
      <c r="E89" s="11">
        <v>7</v>
      </c>
      <c r="F89" s="12">
        <f t="shared" ref="F89:F113" si="8">MAX(0,ROUND((D89*(1-$D$5)/E89-1)/0.005,0)*0.005)</f>
        <v>0</v>
      </c>
      <c r="G89" s="11">
        <v>1.49</v>
      </c>
      <c r="H89" s="13">
        <f t="shared" ref="H89:H113" si="9">G89/(1-$D$4)*(1+F89)</f>
        <v>1.7529411764705882</v>
      </c>
      <c r="I89" s="14">
        <f t="shared" ref="I89:I113" si="10">CEILING(H89+L89,K89)-L89</f>
        <v>1.99</v>
      </c>
      <c r="J89" s="13">
        <f t="shared" ref="J89:J113" si="11">I89/(1+F89)*(1-$D$4)</f>
        <v>1.6915</v>
      </c>
      <c r="K89" s="15">
        <v>0.5</v>
      </c>
      <c r="L89" s="16">
        <v>0.01</v>
      </c>
      <c r="M89" s="17"/>
    </row>
    <row r="90" spans="1:13" ht="15" customHeight="1" x14ac:dyDescent="0.75">
      <c r="A90" s="9">
        <v>78</v>
      </c>
      <c r="B90" s="10" t="s">
        <v>134</v>
      </c>
      <c r="C90" s="10" t="s">
        <v>24</v>
      </c>
      <c r="D90" s="11">
        <v>9.99</v>
      </c>
      <c r="E90" s="11">
        <v>7</v>
      </c>
      <c r="F90" s="12">
        <f t="shared" si="8"/>
        <v>0</v>
      </c>
      <c r="G90" s="11">
        <v>1.7</v>
      </c>
      <c r="H90" s="13">
        <f t="shared" si="9"/>
        <v>2</v>
      </c>
      <c r="I90" s="14">
        <f t="shared" si="10"/>
        <v>2.4900000000000002</v>
      </c>
      <c r="J90" s="13">
        <f t="shared" si="11"/>
        <v>2.1165000000000003</v>
      </c>
      <c r="K90" s="15">
        <v>0.5</v>
      </c>
      <c r="L90" s="16">
        <v>0.01</v>
      </c>
      <c r="M90" s="17" t="s">
        <v>99</v>
      </c>
    </row>
    <row r="91" spans="1:13" ht="15" customHeight="1" x14ac:dyDescent="0.75">
      <c r="A91" s="9">
        <v>79</v>
      </c>
      <c r="B91" s="10" t="s">
        <v>135</v>
      </c>
      <c r="C91" s="10" t="s">
        <v>24</v>
      </c>
      <c r="D91" s="11">
        <v>9.99</v>
      </c>
      <c r="E91" s="11">
        <v>7</v>
      </c>
      <c r="F91" s="12">
        <f t="shared" si="8"/>
        <v>0</v>
      </c>
      <c r="G91" s="11">
        <v>2.4900000000000002</v>
      </c>
      <c r="H91" s="13">
        <f t="shared" si="9"/>
        <v>2.9294117647058826</v>
      </c>
      <c r="I91" s="14">
        <f t="shared" si="10"/>
        <v>2.99</v>
      </c>
      <c r="J91" s="13">
        <f t="shared" si="11"/>
        <v>2.5415000000000001</v>
      </c>
      <c r="K91" s="15">
        <v>0.5</v>
      </c>
      <c r="L91" s="16">
        <v>0.01</v>
      </c>
      <c r="M91" s="17"/>
    </row>
    <row r="92" spans="1:13" ht="15" customHeight="1" x14ac:dyDescent="0.75">
      <c r="A92" s="9">
        <v>80</v>
      </c>
      <c r="B92" s="10" t="s">
        <v>136</v>
      </c>
      <c r="C92" s="10" t="s">
        <v>24</v>
      </c>
      <c r="D92" s="11">
        <v>11.99</v>
      </c>
      <c r="E92" s="11">
        <v>7.3</v>
      </c>
      <c r="F92" s="12">
        <f t="shared" si="8"/>
        <v>0.15</v>
      </c>
      <c r="G92" s="11">
        <v>6.49</v>
      </c>
      <c r="H92" s="13">
        <f t="shared" si="9"/>
        <v>8.7805882352941182</v>
      </c>
      <c r="I92" s="14">
        <f t="shared" si="10"/>
        <v>8.99</v>
      </c>
      <c r="J92" s="13">
        <f t="shared" si="11"/>
        <v>6.6447826086956523</v>
      </c>
      <c r="K92" s="15">
        <v>0.5</v>
      </c>
      <c r="L92" s="16">
        <v>0.01</v>
      </c>
      <c r="M92" s="17"/>
    </row>
    <row r="93" spans="1:13" ht="15" customHeight="1" x14ac:dyDescent="0.75">
      <c r="A93" s="9">
        <v>81</v>
      </c>
      <c r="B93" s="10" t="s">
        <v>137</v>
      </c>
      <c r="C93" s="10" t="s">
        <v>24</v>
      </c>
      <c r="D93" s="11">
        <v>11.99</v>
      </c>
      <c r="E93" s="11">
        <v>6.99</v>
      </c>
      <c r="F93" s="12">
        <f t="shared" si="8"/>
        <v>0.2</v>
      </c>
      <c r="G93" s="11">
        <v>3.6</v>
      </c>
      <c r="H93" s="13">
        <f t="shared" si="9"/>
        <v>5.0823529411764703</v>
      </c>
      <c r="I93" s="14">
        <f t="shared" si="10"/>
        <v>5.49</v>
      </c>
      <c r="J93" s="13">
        <f t="shared" si="11"/>
        <v>3.8887499999999999</v>
      </c>
      <c r="K93" s="15">
        <v>0.5</v>
      </c>
      <c r="L93" s="16">
        <v>0.01</v>
      </c>
      <c r="M93" s="17" t="s">
        <v>138</v>
      </c>
    </row>
    <row r="94" spans="1:13" ht="15" customHeight="1" x14ac:dyDescent="0.75">
      <c r="A94" s="9">
        <v>82</v>
      </c>
      <c r="B94" s="10" t="s">
        <v>139</v>
      </c>
      <c r="C94" s="10" t="s">
        <v>24</v>
      </c>
      <c r="D94" s="11">
        <v>9.99</v>
      </c>
      <c r="E94" s="11">
        <v>7</v>
      </c>
      <c r="F94" s="12">
        <f t="shared" si="8"/>
        <v>0</v>
      </c>
      <c r="G94" s="11">
        <v>1.49</v>
      </c>
      <c r="H94" s="13">
        <f t="shared" si="9"/>
        <v>1.7529411764705882</v>
      </c>
      <c r="I94" s="14">
        <f t="shared" si="10"/>
        <v>1.99</v>
      </c>
      <c r="J94" s="13">
        <f t="shared" si="11"/>
        <v>1.6915</v>
      </c>
      <c r="K94" s="15">
        <v>0.5</v>
      </c>
      <c r="L94" s="16">
        <v>0.01</v>
      </c>
      <c r="M94" s="17"/>
    </row>
    <row r="95" spans="1:13" ht="15" customHeight="1" x14ac:dyDescent="0.75">
      <c r="A95" s="9">
        <v>83</v>
      </c>
      <c r="B95" s="10" t="s">
        <v>140</v>
      </c>
      <c r="C95" s="10" t="s">
        <v>24</v>
      </c>
      <c r="D95" s="11">
        <v>9.99</v>
      </c>
      <c r="E95" s="11">
        <v>7</v>
      </c>
      <c r="F95" s="12">
        <f t="shared" si="8"/>
        <v>0</v>
      </c>
      <c r="G95" s="11">
        <v>3.49</v>
      </c>
      <c r="H95" s="13">
        <f t="shared" si="9"/>
        <v>4.105882352941177</v>
      </c>
      <c r="I95" s="14">
        <f t="shared" si="10"/>
        <v>4.49</v>
      </c>
      <c r="J95" s="13">
        <f t="shared" si="11"/>
        <v>3.8165</v>
      </c>
      <c r="K95" s="15">
        <v>0.5</v>
      </c>
      <c r="L95" s="16">
        <v>0.01</v>
      </c>
      <c r="M95" s="17"/>
    </row>
    <row r="96" spans="1:13" ht="15" customHeight="1" x14ac:dyDescent="0.75">
      <c r="A96" s="9">
        <v>84</v>
      </c>
      <c r="B96" s="10" t="s">
        <v>141</v>
      </c>
      <c r="C96" s="10" t="s">
        <v>24</v>
      </c>
      <c r="D96" s="11">
        <v>9.99</v>
      </c>
      <c r="E96" s="11">
        <v>7</v>
      </c>
      <c r="F96" s="12">
        <f t="shared" si="8"/>
        <v>0</v>
      </c>
      <c r="G96" s="11">
        <v>1.7</v>
      </c>
      <c r="H96" s="13">
        <f t="shared" si="9"/>
        <v>2</v>
      </c>
      <c r="I96" s="14">
        <f t="shared" si="10"/>
        <v>2.4900000000000002</v>
      </c>
      <c r="J96" s="13">
        <f t="shared" si="11"/>
        <v>2.1165000000000003</v>
      </c>
      <c r="K96" s="15">
        <v>0.5</v>
      </c>
      <c r="L96" s="16">
        <v>0.01</v>
      </c>
      <c r="M96" s="17" t="s">
        <v>99</v>
      </c>
    </row>
    <row r="97" spans="1:13" ht="15" customHeight="1" x14ac:dyDescent="0.75">
      <c r="A97" s="9">
        <v>85</v>
      </c>
      <c r="B97" s="10" t="s">
        <v>142</v>
      </c>
      <c r="C97" s="10" t="s">
        <v>143</v>
      </c>
      <c r="D97" s="60">
        <v>14900</v>
      </c>
      <c r="E97" s="60">
        <v>9702.33</v>
      </c>
      <c r="F97" s="12">
        <f t="shared" si="8"/>
        <v>7.4999999999999997E-2</v>
      </c>
      <c r="G97" s="60">
        <v>4800</v>
      </c>
      <c r="H97" s="61">
        <f t="shared" si="9"/>
        <v>6070.5882352941171</v>
      </c>
      <c r="I97" s="62">
        <f t="shared" si="10"/>
        <v>6100</v>
      </c>
      <c r="J97" s="61">
        <f t="shared" si="11"/>
        <v>4823.2558139534885</v>
      </c>
      <c r="K97" s="15">
        <v>100</v>
      </c>
      <c r="L97" s="16">
        <v>0</v>
      </c>
      <c r="M97" s="17"/>
    </row>
    <row r="98" spans="1:13" ht="15" customHeight="1" x14ac:dyDescent="0.75">
      <c r="A98" s="9">
        <v>86</v>
      </c>
      <c r="B98" s="10" t="s">
        <v>144</v>
      </c>
      <c r="C98" s="10" t="s">
        <v>24</v>
      </c>
      <c r="D98" s="11">
        <v>9.99</v>
      </c>
      <c r="E98" s="11">
        <v>6.66</v>
      </c>
      <c r="F98" s="12">
        <f t="shared" si="8"/>
        <v>0.05</v>
      </c>
      <c r="G98" s="11">
        <v>8.49</v>
      </c>
      <c r="H98" s="13">
        <f t="shared" si="9"/>
        <v>10.48764705882353</v>
      </c>
      <c r="I98" s="14">
        <f t="shared" si="10"/>
        <v>10.49</v>
      </c>
      <c r="J98" s="13">
        <f t="shared" si="11"/>
        <v>8.4919047619047614</v>
      </c>
      <c r="K98" s="15">
        <v>0.5</v>
      </c>
      <c r="L98" s="16">
        <v>0.01</v>
      </c>
      <c r="M98" s="17"/>
    </row>
    <row r="99" spans="1:13" ht="15" customHeight="1" x14ac:dyDescent="0.75">
      <c r="A99" s="9">
        <v>87</v>
      </c>
      <c r="B99" s="10" t="s">
        <v>145</v>
      </c>
      <c r="C99" s="10" t="s">
        <v>146</v>
      </c>
      <c r="D99" s="63">
        <v>39.99</v>
      </c>
      <c r="E99" s="63">
        <v>27.99</v>
      </c>
      <c r="F99" s="12">
        <f t="shared" si="8"/>
        <v>0</v>
      </c>
      <c r="G99" s="63">
        <v>42</v>
      </c>
      <c r="H99" s="64">
        <f t="shared" si="9"/>
        <v>49.411764705882355</v>
      </c>
      <c r="I99" s="65">
        <f t="shared" si="10"/>
        <v>49.99</v>
      </c>
      <c r="J99" s="64">
        <f t="shared" si="11"/>
        <v>42.491500000000002</v>
      </c>
      <c r="K99" s="15">
        <v>1</v>
      </c>
      <c r="L99" s="16">
        <v>0.01</v>
      </c>
      <c r="M99" s="17"/>
    </row>
    <row r="100" spans="1:13" ht="15" customHeight="1" x14ac:dyDescent="0.75">
      <c r="A100" s="9">
        <v>88</v>
      </c>
      <c r="B100" s="10" t="s">
        <v>147</v>
      </c>
      <c r="C100" s="10" t="s">
        <v>24</v>
      </c>
      <c r="D100" s="11">
        <v>9.99</v>
      </c>
      <c r="E100" s="11">
        <v>7</v>
      </c>
      <c r="F100" s="12">
        <f t="shared" si="8"/>
        <v>0</v>
      </c>
      <c r="G100" s="11">
        <v>2.4900000000000002</v>
      </c>
      <c r="H100" s="13">
        <f t="shared" si="9"/>
        <v>2.9294117647058826</v>
      </c>
      <c r="I100" s="14">
        <f t="shared" si="10"/>
        <v>2.99</v>
      </c>
      <c r="J100" s="13">
        <f t="shared" si="11"/>
        <v>2.5415000000000001</v>
      </c>
      <c r="K100" s="15">
        <v>0.5</v>
      </c>
      <c r="L100" s="16">
        <v>0.01</v>
      </c>
      <c r="M100" s="17"/>
    </row>
    <row r="101" spans="1:13" ht="15" customHeight="1" x14ac:dyDescent="0.75">
      <c r="A101" s="9">
        <v>89</v>
      </c>
      <c r="B101" s="10" t="s">
        <v>148</v>
      </c>
      <c r="C101" s="10" t="s">
        <v>24</v>
      </c>
      <c r="D101" s="11">
        <v>9.99</v>
      </c>
      <c r="E101" s="11">
        <v>7</v>
      </c>
      <c r="F101" s="12">
        <f t="shared" si="8"/>
        <v>0</v>
      </c>
      <c r="G101" s="11">
        <v>2.4900000000000002</v>
      </c>
      <c r="H101" s="13">
        <f t="shared" si="9"/>
        <v>2.9294117647058826</v>
      </c>
      <c r="I101" s="14">
        <f t="shared" si="10"/>
        <v>2.99</v>
      </c>
      <c r="J101" s="13">
        <f t="shared" si="11"/>
        <v>2.5415000000000001</v>
      </c>
      <c r="K101" s="15">
        <v>0.5</v>
      </c>
      <c r="L101" s="16">
        <v>0.01</v>
      </c>
      <c r="M101" s="17"/>
    </row>
    <row r="102" spans="1:13" ht="15" customHeight="1" x14ac:dyDescent="0.75">
      <c r="A102" s="9">
        <v>90</v>
      </c>
      <c r="B102" s="10" t="s">
        <v>149</v>
      </c>
      <c r="C102" s="10" t="s">
        <v>150</v>
      </c>
      <c r="D102" s="66">
        <v>39.99</v>
      </c>
      <c r="E102" s="66">
        <v>24.34</v>
      </c>
      <c r="F102" s="12">
        <f t="shared" si="8"/>
        <v>0.15</v>
      </c>
      <c r="G102" s="66">
        <v>37.49</v>
      </c>
      <c r="H102" s="67">
        <f t="shared" si="9"/>
        <v>50.72176470588235</v>
      </c>
      <c r="I102" s="68">
        <f t="shared" si="10"/>
        <v>50.99</v>
      </c>
      <c r="J102" s="67">
        <f t="shared" si="11"/>
        <v>37.688260869565219</v>
      </c>
      <c r="K102" s="15">
        <v>1</v>
      </c>
      <c r="L102" s="16">
        <v>0.01</v>
      </c>
      <c r="M102" s="17"/>
    </row>
    <row r="103" spans="1:13" ht="15" customHeight="1" x14ac:dyDescent="0.75">
      <c r="A103" s="9">
        <v>91</v>
      </c>
      <c r="B103" s="10" t="s">
        <v>151</v>
      </c>
      <c r="C103" s="10" t="s">
        <v>24</v>
      </c>
      <c r="D103" s="11">
        <v>11.99</v>
      </c>
      <c r="E103" s="11">
        <v>7.11</v>
      </c>
      <c r="F103" s="12">
        <f t="shared" si="8"/>
        <v>0.18</v>
      </c>
      <c r="G103" s="11">
        <v>2.61</v>
      </c>
      <c r="H103" s="13">
        <f t="shared" si="9"/>
        <v>3.6232941176470583</v>
      </c>
      <c r="I103" s="14">
        <f t="shared" si="10"/>
        <v>3.99</v>
      </c>
      <c r="J103" s="13">
        <f t="shared" si="11"/>
        <v>2.8741525423728818</v>
      </c>
      <c r="K103" s="15">
        <v>0.5</v>
      </c>
      <c r="L103" s="16">
        <v>0.01</v>
      </c>
      <c r="M103" s="17" t="s">
        <v>101</v>
      </c>
    </row>
    <row r="104" spans="1:13" ht="15" customHeight="1" x14ac:dyDescent="0.75">
      <c r="A104" s="9">
        <v>92</v>
      </c>
      <c r="B104" s="10" t="s">
        <v>152</v>
      </c>
      <c r="C104" s="10" t="s">
        <v>24</v>
      </c>
      <c r="D104" s="11">
        <v>9.99</v>
      </c>
      <c r="E104" s="11">
        <v>7</v>
      </c>
      <c r="F104" s="12">
        <f t="shared" si="8"/>
        <v>0</v>
      </c>
      <c r="G104" s="11">
        <v>6.49</v>
      </c>
      <c r="H104" s="13">
        <f t="shared" si="9"/>
        <v>7.6352941176470592</v>
      </c>
      <c r="I104" s="14">
        <f t="shared" si="10"/>
        <v>7.99</v>
      </c>
      <c r="J104" s="13">
        <f t="shared" si="11"/>
        <v>6.7915000000000001</v>
      </c>
      <c r="K104" s="15">
        <v>0.5</v>
      </c>
      <c r="L104" s="16">
        <v>0.01</v>
      </c>
      <c r="M104" s="17"/>
    </row>
    <row r="105" spans="1:13" ht="15" customHeight="1" x14ac:dyDescent="0.75">
      <c r="A105" s="9">
        <v>93</v>
      </c>
      <c r="B105" s="10" t="s">
        <v>153</v>
      </c>
      <c r="C105" s="10" t="s">
        <v>24</v>
      </c>
      <c r="D105" s="11">
        <v>9.99</v>
      </c>
      <c r="E105" s="11">
        <v>7</v>
      </c>
      <c r="F105" s="12">
        <f t="shared" si="8"/>
        <v>0</v>
      </c>
      <c r="G105" s="11">
        <v>1.49</v>
      </c>
      <c r="H105" s="13">
        <f t="shared" si="9"/>
        <v>1.7529411764705882</v>
      </c>
      <c r="I105" s="14">
        <f t="shared" si="10"/>
        <v>1.99</v>
      </c>
      <c r="J105" s="13">
        <f t="shared" si="11"/>
        <v>1.6915</v>
      </c>
      <c r="K105" s="15">
        <v>0.5</v>
      </c>
      <c r="L105" s="16">
        <v>0.01</v>
      </c>
      <c r="M105" s="17"/>
    </row>
    <row r="106" spans="1:13" ht="15" customHeight="1" x14ac:dyDescent="0.75">
      <c r="A106" s="9">
        <v>94</v>
      </c>
      <c r="B106" s="10" t="s">
        <v>154</v>
      </c>
      <c r="C106" s="10" t="s">
        <v>155</v>
      </c>
      <c r="D106" s="69">
        <v>199.99</v>
      </c>
      <c r="E106" s="69">
        <v>121.73</v>
      </c>
      <c r="F106" s="12">
        <f t="shared" si="8"/>
        <v>0.15</v>
      </c>
      <c r="G106" s="69">
        <v>77.989999999999995</v>
      </c>
      <c r="H106" s="70">
        <f t="shared" si="9"/>
        <v>105.51588235294116</v>
      </c>
      <c r="I106" s="71">
        <f t="shared" si="10"/>
        <v>109.99</v>
      </c>
      <c r="J106" s="70">
        <f t="shared" si="11"/>
        <v>81.296956521739133</v>
      </c>
      <c r="K106" s="15">
        <v>10</v>
      </c>
      <c r="L106" s="16">
        <v>0.01</v>
      </c>
      <c r="M106" s="17"/>
    </row>
    <row r="107" spans="1:13" ht="15" customHeight="1" x14ac:dyDescent="0.75">
      <c r="A107" s="9">
        <v>95</v>
      </c>
      <c r="B107" s="10" t="s">
        <v>156</v>
      </c>
      <c r="C107" s="10" t="s">
        <v>157</v>
      </c>
      <c r="D107" s="72">
        <v>29900</v>
      </c>
      <c r="E107" s="72">
        <v>17205.169999999998</v>
      </c>
      <c r="F107" s="12">
        <f t="shared" si="8"/>
        <v>0.215</v>
      </c>
      <c r="G107" s="72">
        <v>6900</v>
      </c>
      <c r="H107" s="73">
        <f t="shared" si="9"/>
        <v>9862.9411764705892</v>
      </c>
      <c r="I107" s="74">
        <f t="shared" si="10"/>
        <v>9900</v>
      </c>
      <c r="J107" s="73">
        <f t="shared" si="11"/>
        <v>6925.9259259259252</v>
      </c>
      <c r="K107" s="15">
        <v>100</v>
      </c>
      <c r="L107" s="16">
        <v>0</v>
      </c>
      <c r="M107" s="17"/>
    </row>
    <row r="108" spans="1:13" ht="15" customHeight="1" x14ac:dyDescent="0.75">
      <c r="A108" s="9">
        <v>96</v>
      </c>
      <c r="B108" s="10" t="s">
        <v>158</v>
      </c>
      <c r="C108" s="10" t="s">
        <v>24</v>
      </c>
      <c r="D108" s="11">
        <v>9.99</v>
      </c>
      <c r="E108" s="11">
        <v>7</v>
      </c>
      <c r="F108" s="12">
        <f t="shared" si="8"/>
        <v>0</v>
      </c>
      <c r="G108" s="11">
        <v>4.99</v>
      </c>
      <c r="H108" s="13">
        <f t="shared" si="9"/>
        <v>5.8705882352941181</v>
      </c>
      <c r="I108" s="14">
        <f t="shared" si="10"/>
        <v>5.99</v>
      </c>
      <c r="J108" s="13">
        <f t="shared" si="11"/>
        <v>5.0914999999999999</v>
      </c>
      <c r="K108" s="15">
        <v>0.5</v>
      </c>
      <c r="L108" s="16">
        <v>0.01</v>
      </c>
      <c r="M108" s="17"/>
    </row>
    <row r="109" spans="1:13" ht="15" customHeight="1" x14ac:dyDescent="0.75">
      <c r="A109" s="9">
        <v>97</v>
      </c>
      <c r="B109" s="10" t="s">
        <v>159</v>
      </c>
      <c r="C109" s="10" t="s">
        <v>24</v>
      </c>
      <c r="D109" s="11">
        <v>11.99</v>
      </c>
      <c r="E109" s="11">
        <v>6.76</v>
      </c>
      <c r="F109" s="12">
        <f t="shared" si="8"/>
        <v>0.24</v>
      </c>
      <c r="G109" s="11">
        <v>1.49</v>
      </c>
      <c r="H109" s="13">
        <f t="shared" si="9"/>
        <v>2.1736470588235295</v>
      </c>
      <c r="I109" s="14">
        <f t="shared" si="10"/>
        <v>2.4900000000000002</v>
      </c>
      <c r="J109" s="13">
        <f t="shared" si="11"/>
        <v>1.7068548387096776</v>
      </c>
      <c r="K109" s="15">
        <v>0.5</v>
      </c>
      <c r="L109" s="16">
        <v>0.01</v>
      </c>
      <c r="M109" s="17"/>
    </row>
    <row r="110" spans="1:13" ht="15" customHeight="1" x14ac:dyDescent="0.75">
      <c r="A110" s="9">
        <v>98</v>
      </c>
      <c r="B110" s="10" t="s">
        <v>160</v>
      </c>
      <c r="C110" s="10" t="s">
        <v>161</v>
      </c>
      <c r="D110" s="75">
        <v>39.99</v>
      </c>
      <c r="E110" s="75">
        <v>26.66</v>
      </c>
      <c r="F110" s="12">
        <f t="shared" si="8"/>
        <v>0.05</v>
      </c>
      <c r="G110" s="75">
        <v>36.49</v>
      </c>
      <c r="H110" s="76">
        <f t="shared" si="9"/>
        <v>45.075882352941179</v>
      </c>
      <c r="I110" s="77">
        <f t="shared" si="10"/>
        <v>45.99</v>
      </c>
      <c r="J110" s="76">
        <f t="shared" si="11"/>
        <v>37.229999999999997</v>
      </c>
      <c r="K110" s="15">
        <v>1</v>
      </c>
      <c r="L110" s="16">
        <v>0.01</v>
      </c>
      <c r="M110" s="17"/>
    </row>
    <row r="111" spans="1:13" ht="15" customHeight="1" x14ac:dyDescent="0.75">
      <c r="A111" s="9">
        <v>99</v>
      </c>
      <c r="B111" s="10" t="s">
        <v>162</v>
      </c>
      <c r="C111" s="10" t="s">
        <v>24</v>
      </c>
      <c r="D111" s="11">
        <v>9.99</v>
      </c>
      <c r="E111" s="11">
        <v>7</v>
      </c>
      <c r="F111" s="12">
        <f t="shared" si="8"/>
        <v>0</v>
      </c>
      <c r="G111" s="11">
        <v>1.49</v>
      </c>
      <c r="H111" s="13">
        <f t="shared" si="9"/>
        <v>1.7529411764705882</v>
      </c>
      <c r="I111" s="14">
        <f t="shared" si="10"/>
        <v>1.99</v>
      </c>
      <c r="J111" s="13">
        <f t="shared" si="11"/>
        <v>1.6915</v>
      </c>
      <c r="K111" s="15">
        <v>0.5</v>
      </c>
      <c r="L111" s="16">
        <v>0.01</v>
      </c>
      <c r="M111" s="17"/>
    </row>
    <row r="112" spans="1:13" ht="15" customHeight="1" x14ac:dyDescent="0.75">
      <c r="A112" s="9">
        <v>100</v>
      </c>
      <c r="B112" s="10" t="s">
        <v>163</v>
      </c>
      <c r="C112" s="10" t="s">
        <v>24</v>
      </c>
      <c r="D112" s="11">
        <v>11.99</v>
      </c>
      <c r="E112" s="11">
        <v>7.24</v>
      </c>
      <c r="F112" s="12">
        <f t="shared" si="8"/>
        <v>0.16</v>
      </c>
      <c r="G112" s="11">
        <v>2.4900000000000002</v>
      </c>
      <c r="H112" s="13">
        <f t="shared" si="9"/>
        <v>3.3981176470588235</v>
      </c>
      <c r="I112" s="14">
        <f t="shared" si="10"/>
        <v>3.49</v>
      </c>
      <c r="J112" s="13">
        <f t="shared" si="11"/>
        <v>2.5573275862068967</v>
      </c>
      <c r="K112" s="15">
        <v>0.5</v>
      </c>
      <c r="L112" s="16">
        <v>0.01</v>
      </c>
      <c r="M112" s="17"/>
    </row>
    <row r="113" spans="1:13" ht="15" customHeight="1" x14ac:dyDescent="0.75">
      <c r="A113" s="9">
        <v>101</v>
      </c>
      <c r="B113" s="10" t="s">
        <v>164</v>
      </c>
      <c r="C113" s="10" t="s">
        <v>24</v>
      </c>
      <c r="D113" s="11">
        <v>11.99</v>
      </c>
      <c r="E113" s="11">
        <v>6.9</v>
      </c>
      <c r="F113" s="12">
        <f t="shared" si="8"/>
        <v>0.215</v>
      </c>
      <c r="G113" s="11">
        <v>2.4900000000000002</v>
      </c>
      <c r="H113" s="13">
        <f t="shared" si="9"/>
        <v>3.5592352941176477</v>
      </c>
      <c r="I113" s="14">
        <f t="shared" si="10"/>
        <v>3.99</v>
      </c>
      <c r="J113" s="13">
        <f t="shared" si="11"/>
        <v>2.7913580246913581</v>
      </c>
      <c r="K113" s="15">
        <v>0.5</v>
      </c>
      <c r="L113" s="16">
        <v>0.01</v>
      </c>
      <c r="M113" s="17"/>
    </row>
    <row r="114" spans="1:13" ht="15" customHeight="1" x14ac:dyDescent="0.75">
      <c r="A114" s="208" t="s">
        <v>165</v>
      </c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</row>
    <row r="115" spans="1:13" ht="15" customHeight="1" x14ac:dyDescent="0.75">
      <c r="A115" s="9">
        <v>102</v>
      </c>
      <c r="B115" s="10" t="s">
        <v>166</v>
      </c>
      <c r="C115" s="10" t="s">
        <v>24</v>
      </c>
      <c r="D115" s="11">
        <v>9.99</v>
      </c>
      <c r="E115" s="11">
        <v>7</v>
      </c>
      <c r="F115" s="12">
        <f t="shared" ref="F115:F151" si="12">MAX(0,ROUND((D115*(1-$D$5)/E115-1)/0.005,0)*0.005)</f>
        <v>0</v>
      </c>
      <c r="G115" s="11">
        <v>4.99</v>
      </c>
      <c r="H115" s="13">
        <f t="shared" ref="H115:H151" si="13">G115/(1-$D$4)*(1+F115)</f>
        <v>5.8705882352941181</v>
      </c>
      <c r="I115" s="14">
        <f t="shared" ref="I115:I151" si="14">CEILING(H115+L115,K115)-L115</f>
        <v>5.99</v>
      </c>
      <c r="J115" s="13">
        <f t="shared" ref="J115:J151" si="15">I115/(1+F115)*(1-$D$4)</f>
        <v>5.0914999999999999</v>
      </c>
      <c r="K115" s="15">
        <v>0.5</v>
      </c>
      <c r="L115" s="16">
        <v>0.01</v>
      </c>
      <c r="M115" s="17"/>
    </row>
    <row r="116" spans="1:13" ht="15" customHeight="1" x14ac:dyDescent="0.75">
      <c r="A116" s="9">
        <v>103</v>
      </c>
      <c r="B116" s="10" t="s">
        <v>167</v>
      </c>
      <c r="C116" s="10" t="s">
        <v>24</v>
      </c>
      <c r="D116" s="11">
        <v>9.99</v>
      </c>
      <c r="E116" s="11">
        <v>7</v>
      </c>
      <c r="F116" s="12">
        <f t="shared" si="12"/>
        <v>0</v>
      </c>
      <c r="G116" s="11">
        <v>6.49</v>
      </c>
      <c r="H116" s="13">
        <f t="shared" si="13"/>
        <v>7.6352941176470592</v>
      </c>
      <c r="I116" s="14">
        <f t="shared" si="14"/>
        <v>7.99</v>
      </c>
      <c r="J116" s="13">
        <f t="shared" si="15"/>
        <v>6.7915000000000001</v>
      </c>
      <c r="K116" s="15">
        <v>0.5</v>
      </c>
      <c r="L116" s="16">
        <v>0.01</v>
      </c>
      <c r="M116" s="17"/>
    </row>
    <row r="117" spans="1:13" ht="15" customHeight="1" x14ac:dyDescent="0.75">
      <c r="A117" s="9">
        <v>104</v>
      </c>
      <c r="B117" s="10" t="s">
        <v>168</v>
      </c>
      <c r="C117" s="10" t="s">
        <v>24</v>
      </c>
      <c r="D117" s="11">
        <v>9.99</v>
      </c>
      <c r="E117" s="11">
        <v>7</v>
      </c>
      <c r="F117" s="12">
        <f t="shared" si="12"/>
        <v>0</v>
      </c>
      <c r="G117" s="11">
        <v>6.49</v>
      </c>
      <c r="H117" s="13">
        <f t="shared" si="13"/>
        <v>7.6352941176470592</v>
      </c>
      <c r="I117" s="14">
        <f t="shared" si="14"/>
        <v>7.99</v>
      </c>
      <c r="J117" s="13">
        <f t="shared" si="15"/>
        <v>6.7915000000000001</v>
      </c>
      <c r="K117" s="15">
        <v>0.5</v>
      </c>
      <c r="L117" s="16">
        <v>0.01</v>
      </c>
      <c r="M117" s="17"/>
    </row>
    <row r="118" spans="1:13" ht="15" customHeight="1" x14ac:dyDescent="0.75">
      <c r="A118" s="9">
        <v>105</v>
      </c>
      <c r="B118" s="10" t="s">
        <v>169</v>
      </c>
      <c r="C118" s="10" t="s">
        <v>24</v>
      </c>
      <c r="D118" s="11">
        <v>9.99</v>
      </c>
      <c r="E118" s="11">
        <v>6.36</v>
      </c>
      <c r="F118" s="12">
        <f t="shared" si="12"/>
        <v>0.1</v>
      </c>
      <c r="G118" s="11">
        <v>8.49</v>
      </c>
      <c r="H118" s="13">
        <f t="shared" si="13"/>
        <v>10.987058823529413</v>
      </c>
      <c r="I118" s="14">
        <f t="shared" si="14"/>
        <v>10.99</v>
      </c>
      <c r="J118" s="13">
        <f t="shared" si="15"/>
        <v>8.4922727272727272</v>
      </c>
      <c r="K118" s="15">
        <v>0.5</v>
      </c>
      <c r="L118" s="16">
        <v>0.01</v>
      </c>
      <c r="M118" s="17"/>
    </row>
    <row r="119" spans="1:13" ht="15" customHeight="1" x14ac:dyDescent="0.75">
      <c r="A119" s="9">
        <v>106</v>
      </c>
      <c r="B119" s="10" t="s">
        <v>170</v>
      </c>
      <c r="C119" s="10" t="s">
        <v>24</v>
      </c>
      <c r="D119" s="11">
        <v>11.99</v>
      </c>
      <c r="E119" s="11">
        <v>7.14</v>
      </c>
      <c r="F119" s="12">
        <f t="shared" si="12"/>
        <v>0.17500000000000002</v>
      </c>
      <c r="G119" s="11">
        <v>6.49</v>
      </c>
      <c r="H119" s="13">
        <f t="shared" si="13"/>
        <v>8.9714705882352952</v>
      </c>
      <c r="I119" s="14">
        <f t="shared" si="14"/>
        <v>8.99</v>
      </c>
      <c r="J119" s="13">
        <f t="shared" si="15"/>
        <v>6.5034042553191487</v>
      </c>
      <c r="K119" s="15">
        <v>0.5</v>
      </c>
      <c r="L119" s="16">
        <v>0.01</v>
      </c>
      <c r="M119" s="17"/>
    </row>
    <row r="120" spans="1:13" ht="15" customHeight="1" x14ac:dyDescent="0.75">
      <c r="A120" s="9">
        <v>107</v>
      </c>
      <c r="B120" s="10" t="s">
        <v>171</v>
      </c>
      <c r="C120" s="10" t="s">
        <v>24</v>
      </c>
      <c r="D120" s="11">
        <v>9.99</v>
      </c>
      <c r="E120" s="11">
        <v>7</v>
      </c>
      <c r="F120" s="12">
        <f t="shared" si="12"/>
        <v>0</v>
      </c>
      <c r="G120" s="11">
        <v>4.99</v>
      </c>
      <c r="H120" s="13">
        <f t="shared" si="13"/>
        <v>5.8705882352941181</v>
      </c>
      <c r="I120" s="14">
        <f t="shared" si="14"/>
        <v>5.99</v>
      </c>
      <c r="J120" s="13">
        <f t="shared" si="15"/>
        <v>5.0914999999999999</v>
      </c>
      <c r="K120" s="15">
        <v>0.5</v>
      </c>
      <c r="L120" s="16">
        <v>0.01</v>
      </c>
      <c r="M120" s="17"/>
    </row>
    <row r="121" spans="1:13" ht="15" customHeight="1" x14ac:dyDescent="0.75">
      <c r="A121" s="9">
        <v>108</v>
      </c>
      <c r="B121" s="10" t="s">
        <v>172</v>
      </c>
      <c r="C121" s="10" t="s">
        <v>24</v>
      </c>
      <c r="D121" s="11">
        <v>9.99</v>
      </c>
      <c r="E121" s="11">
        <v>7</v>
      </c>
      <c r="F121" s="12">
        <f t="shared" si="12"/>
        <v>0</v>
      </c>
      <c r="G121" s="11">
        <v>11.49</v>
      </c>
      <c r="H121" s="13">
        <f t="shared" si="13"/>
        <v>13.517647058823529</v>
      </c>
      <c r="I121" s="14">
        <f t="shared" si="14"/>
        <v>13.99</v>
      </c>
      <c r="J121" s="13">
        <f t="shared" si="15"/>
        <v>11.891500000000001</v>
      </c>
      <c r="K121" s="15">
        <v>0.5</v>
      </c>
      <c r="L121" s="16">
        <v>0.01</v>
      </c>
      <c r="M121" s="17"/>
    </row>
    <row r="122" spans="1:13" ht="15" customHeight="1" x14ac:dyDescent="0.75">
      <c r="A122" s="9">
        <v>109</v>
      </c>
      <c r="B122" s="10" t="s">
        <v>173</v>
      </c>
      <c r="C122" s="10" t="s">
        <v>24</v>
      </c>
      <c r="D122" s="11">
        <v>9.99</v>
      </c>
      <c r="E122" s="11">
        <v>7</v>
      </c>
      <c r="F122" s="12">
        <f t="shared" si="12"/>
        <v>0</v>
      </c>
      <c r="G122" s="11">
        <v>3.59</v>
      </c>
      <c r="H122" s="13">
        <f t="shared" si="13"/>
        <v>4.223529411764706</v>
      </c>
      <c r="I122" s="14">
        <f t="shared" si="14"/>
        <v>4.49</v>
      </c>
      <c r="J122" s="13">
        <f t="shared" si="15"/>
        <v>3.8165</v>
      </c>
      <c r="K122" s="15">
        <v>0.5</v>
      </c>
      <c r="L122" s="16">
        <v>0.01</v>
      </c>
      <c r="M122" s="17" t="s">
        <v>174</v>
      </c>
    </row>
    <row r="123" spans="1:13" ht="15" customHeight="1" x14ac:dyDescent="0.75">
      <c r="A123" s="9">
        <v>110</v>
      </c>
      <c r="B123" s="10" t="s">
        <v>175</v>
      </c>
      <c r="C123" s="10" t="s">
        <v>176</v>
      </c>
      <c r="D123" s="78">
        <v>59.9</v>
      </c>
      <c r="E123" s="78">
        <v>36.64</v>
      </c>
      <c r="F123" s="12">
        <f t="shared" si="12"/>
        <v>0.14499999999999999</v>
      </c>
      <c r="G123" s="78">
        <v>24.9</v>
      </c>
      <c r="H123" s="79">
        <f t="shared" si="13"/>
        <v>33.54176470588235</v>
      </c>
      <c r="I123" s="80">
        <f t="shared" si="14"/>
        <v>33.9</v>
      </c>
      <c r="J123" s="79">
        <f t="shared" si="15"/>
        <v>25.165938864628821</v>
      </c>
      <c r="K123" s="15">
        <v>1</v>
      </c>
      <c r="L123" s="16">
        <v>0.1</v>
      </c>
      <c r="M123" s="17"/>
    </row>
    <row r="124" spans="1:13" ht="15" customHeight="1" x14ac:dyDescent="0.75">
      <c r="A124" s="9">
        <v>111</v>
      </c>
      <c r="B124" s="10" t="s">
        <v>177</v>
      </c>
      <c r="C124" s="10" t="s">
        <v>24</v>
      </c>
      <c r="D124" s="11">
        <v>9.99</v>
      </c>
      <c r="E124" s="11">
        <v>7</v>
      </c>
      <c r="F124" s="12">
        <f t="shared" si="12"/>
        <v>0</v>
      </c>
      <c r="G124" s="11">
        <v>6.49</v>
      </c>
      <c r="H124" s="13">
        <f t="shared" si="13"/>
        <v>7.6352941176470592</v>
      </c>
      <c r="I124" s="14">
        <f t="shared" si="14"/>
        <v>7.99</v>
      </c>
      <c r="J124" s="13">
        <f t="shared" si="15"/>
        <v>6.7915000000000001</v>
      </c>
      <c r="K124" s="15">
        <v>0.5</v>
      </c>
      <c r="L124" s="16">
        <v>0.01</v>
      </c>
      <c r="M124" s="17"/>
    </row>
    <row r="125" spans="1:13" ht="15" customHeight="1" x14ac:dyDescent="0.75">
      <c r="A125" s="9">
        <v>112</v>
      </c>
      <c r="B125" s="10" t="s">
        <v>178</v>
      </c>
      <c r="C125" s="10" t="s">
        <v>24</v>
      </c>
      <c r="D125" s="11">
        <v>9.99</v>
      </c>
      <c r="E125" s="11">
        <v>7</v>
      </c>
      <c r="F125" s="12">
        <f t="shared" si="12"/>
        <v>0</v>
      </c>
      <c r="G125" s="11">
        <v>8.49</v>
      </c>
      <c r="H125" s="13">
        <f t="shared" si="13"/>
        <v>9.9882352941176471</v>
      </c>
      <c r="I125" s="14">
        <f t="shared" si="14"/>
        <v>9.99</v>
      </c>
      <c r="J125" s="13">
        <f t="shared" si="15"/>
        <v>8.4915000000000003</v>
      </c>
      <c r="K125" s="15">
        <v>0.5</v>
      </c>
      <c r="L125" s="16">
        <v>0.01</v>
      </c>
      <c r="M125" s="17"/>
    </row>
    <row r="126" spans="1:13" ht="15" customHeight="1" x14ac:dyDescent="0.75">
      <c r="A126" s="9">
        <v>113</v>
      </c>
      <c r="B126" s="10" t="s">
        <v>179</v>
      </c>
      <c r="C126" s="10" t="s">
        <v>180</v>
      </c>
      <c r="D126" s="81">
        <v>9990</v>
      </c>
      <c r="E126" s="81">
        <v>5876</v>
      </c>
      <c r="F126" s="12">
        <f t="shared" si="12"/>
        <v>0.19</v>
      </c>
      <c r="G126" s="81">
        <v>6200</v>
      </c>
      <c r="H126" s="82">
        <f t="shared" si="13"/>
        <v>8680</v>
      </c>
      <c r="I126" s="83">
        <f t="shared" si="14"/>
        <v>8690</v>
      </c>
      <c r="J126" s="82">
        <f t="shared" si="15"/>
        <v>6207.1428571428569</v>
      </c>
      <c r="K126" s="15">
        <v>100</v>
      </c>
      <c r="L126" s="16">
        <v>10</v>
      </c>
      <c r="M126" s="17"/>
    </row>
    <row r="127" spans="1:13" ht="15" customHeight="1" x14ac:dyDescent="0.75">
      <c r="A127" s="9">
        <v>114</v>
      </c>
      <c r="B127" s="10" t="s">
        <v>181</v>
      </c>
      <c r="C127" s="10" t="s">
        <v>182</v>
      </c>
      <c r="D127" s="84">
        <v>49900</v>
      </c>
      <c r="E127" s="84">
        <v>29352.94</v>
      </c>
      <c r="F127" s="12">
        <f t="shared" si="12"/>
        <v>0.19</v>
      </c>
      <c r="G127" s="84">
        <v>15500</v>
      </c>
      <c r="H127" s="85">
        <f t="shared" si="13"/>
        <v>21700</v>
      </c>
      <c r="I127" s="86">
        <f t="shared" si="14"/>
        <v>21900</v>
      </c>
      <c r="J127" s="85">
        <f t="shared" si="15"/>
        <v>15642.857142857141</v>
      </c>
      <c r="K127" s="15">
        <v>1000</v>
      </c>
      <c r="L127" s="16">
        <v>100</v>
      </c>
      <c r="M127" s="17"/>
    </row>
    <row r="128" spans="1:13" ht="15" customHeight="1" x14ac:dyDescent="0.75">
      <c r="A128" s="9">
        <v>115</v>
      </c>
      <c r="B128" s="10" t="s">
        <v>183</v>
      </c>
      <c r="C128" s="10" t="s">
        <v>24</v>
      </c>
      <c r="D128" s="11">
        <v>9.99</v>
      </c>
      <c r="E128" s="11">
        <v>7</v>
      </c>
      <c r="F128" s="12">
        <f t="shared" si="12"/>
        <v>0</v>
      </c>
      <c r="G128" s="11">
        <v>6.39</v>
      </c>
      <c r="H128" s="13">
        <f t="shared" si="13"/>
        <v>7.5176470588235293</v>
      </c>
      <c r="I128" s="14">
        <f t="shared" si="14"/>
        <v>7.99</v>
      </c>
      <c r="J128" s="13">
        <f t="shared" si="15"/>
        <v>6.7915000000000001</v>
      </c>
      <c r="K128" s="15">
        <v>0.5</v>
      </c>
      <c r="L128" s="16">
        <v>0.01</v>
      </c>
      <c r="M128" s="17" t="s">
        <v>184</v>
      </c>
    </row>
    <row r="129" spans="1:13" ht="15" customHeight="1" x14ac:dyDescent="0.75">
      <c r="A129" s="9">
        <v>116</v>
      </c>
      <c r="B129" s="10" t="s">
        <v>185</v>
      </c>
      <c r="C129" s="10" t="s">
        <v>24</v>
      </c>
      <c r="D129" s="11">
        <v>9.99</v>
      </c>
      <c r="E129" s="11">
        <v>7</v>
      </c>
      <c r="F129" s="12">
        <f t="shared" si="12"/>
        <v>0</v>
      </c>
      <c r="G129" s="11">
        <v>4.99</v>
      </c>
      <c r="H129" s="13">
        <f t="shared" si="13"/>
        <v>5.8705882352941181</v>
      </c>
      <c r="I129" s="14">
        <f t="shared" si="14"/>
        <v>5.99</v>
      </c>
      <c r="J129" s="13">
        <f t="shared" si="15"/>
        <v>5.0914999999999999</v>
      </c>
      <c r="K129" s="15">
        <v>0.5</v>
      </c>
      <c r="L129" s="16">
        <v>0.01</v>
      </c>
      <c r="M129" s="17"/>
    </row>
    <row r="130" spans="1:13" ht="15" customHeight="1" x14ac:dyDescent="0.75">
      <c r="A130" s="9">
        <v>117</v>
      </c>
      <c r="B130" s="10" t="s">
        <v>186</v>
      </c>
      <c r="C130" s="10" t="s">
        <v>24</v>
      </c>
      <c r="D130" s="11">
        <v>9.99</v>
      </c>
      <c r="E130" s="11">
        <v>7</v>
      </c>
      <c r="F130" s="12">
        <f t="shared" si="12"/>
        <v>0</v>
      </c>
      <c r="G130" s="11">
        <v>6.49</v>
      </c>
      <c r="H130" s="13">
        <f t="shared" si="13"/>
        <v>7.6352941176470592</v>
      </c>
      <c r="I130" s="14">
        <f t="shared" si="14"/>
        <v>7.99</v>
      </c>
      <c r="J130" s="13">
        <f t="shared" si="15"/>
        <v>6.7915000000000001</v>
      </c>
      <c r="K130" s="15">
        <v>0.5</v>
      </c>
      <c r="L130" s="16">
        <v>0.01</v>
      </c>
      <c r="M130" s="17"/>
    </row>
    <row r="131" spans="1:13" ht="15" customHeight="1" x14ac:dyDescent="0.75">
      <c r="A131" s="9">
        <v>118</v>
      </c>
      <c r="B131" s="10" t="s">
        <v>187</v>
      </c>
      <c r="C131" s="10" t="s">
        <v>24</v>
      </c>
      <c r="D131" s="11">
        <v>9.99</v>
      </c>
      <c r="E131" s="11">
        <v>7</v>
      </c>
      <c r="F131" s="12">
        <f t="shared" si="12"/>
        <v>0</v>
      </c>
      <c r="G131" s="11">
        <v>4.99</v>
      </c>
      <c r="H131" s="13">
        <f t="shared" si="13"/>
        <v>5.8705882352941181</v>
      </c>
      <c r="I131" s="14">
        <f t="shared" si="14"/>
        <v>5.99</v>
      </c>
      <c r="J131" s="13">
        <f t="shared" si="15"/>
        <v>5.0914999999999999</v>
      </c>
      <c r="K131" s="15">
        <v>0.5</v>
      </c>
      <c r="L131" s="16">
        <v>0.01</v>
      </c>
      <c r="M131" s="17"/>
    </row>
    <row r="132" spans="1:13" ht="15" customHeight="1" x14ac:dyDescent="0.75">
      <c r="A132" s="9">
        <v>119</v>
      </c>
      <c r="B132" s="10" t="s">
        <v>188</v>
      </c>
      <c r="C132" s="10" t="s">
        <v>24</v>
      </c>
      <c r="D132" s="11">
        <v>9.99</v>
      </c>
      <c r="E132" s="11">
        <v>7</v>
      </c>
      <c r="F132" s="12">
        <f t="shared" si="12"/>
        <v>0</v>
      </c>
      <c r="G132" s="11">
        <v>3.49</v>
      </c>
      <c r="H132" s="13">
        <f t="shared" si="13"/>
        <v>4.105882352941177</v>
      </c>
      <c r="I132" s="14">
        <f t="shared" si="14"/>
        <v>4.49</v>
      </c>
      <c r="J132" s="13">
        <f t="shared" si="15"/>
        <v>3.8165</v>
      </c>
      <c r="K132" s="15">
        <v>0.5</v>
      </c>
      <c r="L132" s="16">
        <v>0.01</v>
      </c>
      <c r="M132" s="17"/>
    </row>
    <row r="133" spans="1:13" ht="15" customHeight="1" x14ac:dyDescent="0.75">
      <c r="A133" s="9">
        <v>120</v>
      </c>
      <c r="B133" s="10" t="s">
        <v>189</v>
      </c>
      <c r="C133" s="10" t="s">
        <v>24</v>
      </c>
      <c r="D133" s="11">
        <v>9.99</v>
      </c>
      <c r="E133" s="11">
        <v>7</v>
      </c>
      <c r="F133" s="12">
        <f t="shared" si="12"/>
        <v>0</v>
      </c>
      <c r="G133" s="11">
        <v>4.99</v>
      </c>
      <c r="H133" s="13">
        <f t="shared" si="13"/>
        <v>5.8705882352941181</v>
      </c>
      <c r="I133" s="14">
        <f t="shared" si="14"/>
        <v>5.99</v>
      </c>
      <c r="J133" s="13">
        <f t="shared" si="15"/>
        <v>5.0914999999999999</v>
      </c>
      <c r="K133" s="15">
        <v>0.5</v>
      </c>
      <c r="L133" s="16">
        <v>0.01</v>
      </c>
      <c r="M133" s="17"/>
    </row>
    <row r="134" spans="1:13" ht="15" customHeight="1" x14ac:dyDescent="0.75">
      <c r="A134" s="9">
        <v>121</v>
      </c>
      <c r="B134" s="10" t="s">
        <v>190</v>
      </c>
      <c r="C134" s="10" t="s">
        <v>24</v>
      </c>
      <c r="D134" s="11">
        <v>9.99</v>
      </c>
      <c r="E134" s="11">
        <v>7</v>
      </c>
      <c r="F134" s="12">
        <f t="shared" si="12"/>
        <v>0</v>
      </c>
      <c r="G134" s="11">
        <v>4.99</v>
      </c>
      <c r="H134" s="13">
        <f t="shared" si="13"/>
        <v>5.8705882352941181</v>
      </c>
      <c r="I134" s="14">
        <f t="shared" si="14"/>
        <v>5.99</v>
      </c>
      <c r="J134" s="13">
        <f t="shared" si="15"/>
        <v>5.0914999999999999</v>
      </c>
      <c r="K134" s="15">
        <v>0.5</v>
      </c>
      <c r="L134" s="16">
        <v>0.01</v>
      </c>
      <c r="M134" s="17"/>
    </row>
    <row r="135" spans="1:13" ht="15" customHeight="1" x14ac:dyDescent="0.75">
      <c r="A135" s="9">
        <v>122</v>
      </c>
      <c r="B135" s="10" t="s">
        <v>191</v>
      </c>
      <c r="C135" s="10" t="s">
        <v>24</v>
      </c>
      <c r="D135" s="11">
        <v>9.99</v>
      </c>
      <c r="E135" s="11">
        <v>7</v>
      </c>
      <c r="F135" s="12">
        <f t="shared" si="12"/>
        <v>0</v>
      </c>
      <c r="G135" s="11">
        <v>8.49</v>
      </c>
      <c r="H135" s="13">
        <f t="shared" si="13"/>
        <v>9.9882352941176471</v>
      </c>
      <c r="I135" s="14">
        <f t="shared" si="14"/>
        <v>9.99</v>
      </c>
      <c r="J135" s="13">
        <f t="shared" si="15"/>
        <v>8.4915000000000003</v>
      </c>
      <c r="K135" s="15">
        <v>0.5</v>
      </c>
      <c r="L135" s="16">
        <v>0.01</v>
      </c>
      <c r="M135" s="17"/>
    </row>
    <row r="136" spans="1:13" ht="15" customHeight="1" x14ac:dyDescent="0.75">
      <c r="A136" s="9">
        <v>123</v>
      </c>
      <c r="B136" s="10" t="s">
        <v>192</v>
      </c>
      <c r="C136" s="10" t="s">
        <v>24</v>
      </c>
      <c r="D136" s="11">
        <v>9.99</v>
      </c>
      <c r="E136" s="11">
        <v>7</v>
      </c>
      <c r="F136" s="12">
        <f t="shared" si="12"/>
        <v>0</v>
      </c>
      <c r="G136" s="11">
        <v>2.4900000000000002</v>
      </c>
      <c r="H136" s="13">
        <f t="shared" si="13"/>
        <v>2.9294117647058826</v>
      </c>
      <c r="I136" s="14">
        <f t="shared" si="14"/>
        <v>2.99</v>
      </c>
      <c r="J136" s="13">
        <f t="shared" si="15"/>
        <v>2.5415000000000001</v>
      </c>
      <c r="K136" s="15">
        <v>0.5</v>
      </c>
      <c r="L136" s="16">
        <v>0.01</v>
      </c>
      <c r="M136" s="17"/>
    </row>
    <row r="137" spans="1:13" ht="15" customHeight="1" x14ac:dyDescent="0.75">
      <c r="A137" s="9">
        <v>124</v>
      </c>
      <c r="B137" s="10" t="s">
        <v>193</v>
      </c>
      <c r="C137" s="10" t="s">
        <v>24</v>
      </c>
      <c r="D137" s="11">
        <v>9.99</v>
      </c>
      <c r="E137" s="11">
        <v>7</v>
      </c>
      <c r="F137" s="12">
        <f t="shared" si="12"/>
        <v>0</v>
      </c>
      <c r="G137" s="11">
        <v>3.49</v>
      </c>
      <c r="H137" s="13">
        <f t="shared" si="13"/>
        <v>4.105882352941177</v>
      </c>
      <c r="I137" s="14">
        <f t="shared" si="14"/>
        <v>4.49</v>
      </c>
      <c r="J137" s="13">
        <f t="shared" si="15"/>
        <v>3.8165</v>
      </c>
      <c r="K137" s="15">
        <v>0.5</v>
      </c>
      <c r="L137" s="16">
        <v>0.01</v>
      </c>
      <c r="M137" s="17"/>
    </row>
    <row r="138" spans="1:13" ht="15" customHeight="1" x14ac:dyDescent="0.75">
      <c r="A138" s="9">
        <v>125</v>
      </c>
      <c r="B138" s="10" t="s">
        <v>194</v>
      </c>
      <c r="C138" s="10" t="s">
        <v>195</v>
      </c>
      <c r="D138" s="87">
        <v>199</v>
      </c>
      <c r="E138" s="87">
        <v>120.09</v>
      </c>
      <c r="F138" s="12">
        <f t="shared" si="12"/>
        <v>0.16</v>
      </c>
      <c r="G138" s="87">
        <v>113</v>
      </c>
      <c r="H138" s="88">
        <f t="shared" si="13"/>
        <v>154.21176470588233</v>
      </c>
      <c r="I138" s="89">
        <f t="shared" si="14"/>
        <v>159</v>
      </c>
      <c r="J138" s="88">
        <f t="shared" si="15"/>
        <v>116.50862068965519</v>
      </c>
      <c r="K138" s="15">
        <v>10</v>
      </c>
      <c r="L138" s="16">
        <v>1</v>
      </c>
      <c r="M138" s="17"/>
    </row>
    <row r="139" spans="1:13" ht="15" customHeight="1" x14ac:dyDescent="0.75">
      <c r="A139" s="9">
        <v>126</v>
      </c>
      <c r="B139" s="10" t="s">
        <v>196</v>
      </c>
      <c r="C139" s="10" t="s">
        <v>24</v>
      </c>
      <c r="D139" s="11">
        <v>9.99</v>
      </c>
      <c r="E139" s="11">
        <v>7</v>
      </c>
      <c r="F139" s="12">
        <f t="shared" si="12"/>
        <v>0</v>
      </c>
      <c r="G139" s="11">
        <v>4.99</v>
      </c>
      <c r="H139" s="13">
        <f t="shared" si="13"/>
        <v>5.8705882352941181</v>
      </c>
      <c r="I139" s="14">
        <f t="shared" si="14"/>
        <v>5.99</v>
      </c>
      <c r="J139" s="13">
        <f t="shared" si="15"/>
        <v>5.0914999999999999</v>
      </c>
      <c r="K139" s="15">
        <v>0.5</v>
      </c>
      <c r="L139" s="16">
        <v>0.01</v>
      </c>
      <c r="M139" s="17"/>
    </row>
    <row r="140" spans="1:13" ht="15" customHeight="1" x14ac:dyDescent="0.75">
      <c r="A140" s="9">
        <v>127</v>
      </c>
      <c r="B140" s="10" t="s">
        <v>197</v>
      </c>
      <c r="C140" s="10" t="s">
        <v>24</v>
      </c>
      <c r="D140" s="11">
        <v>9.99</v>
      </c>
      <c r="E140" s="11">
        <v>7</v>
      </c>
      <c r="F140" s="12">
        <f t="shared" si="12"/>
        <v>0</v>
      </c>
      <c r="G140" s="11">
        <v>3.49</v>
      </c>
      <c r="H140" s="13">
        <f t="shared" si="13"/>
        <v>4.105882352941177</v>
      </c>
      <c r="I140" s="14">
        <f t="shared" si="14"/>
        <v>4.49</v>
      </c>
      <c r="J140" s="13">
        <f t="shared" si="15"/>
        <v>3.8165</v>
      </c>
      <c r="K140" s="15">
        <v>0.5</v>
      </c>
      <c r="L140" s="16">
        <v>0.01</v>
      </c>
      <c r="M140" s="17"/>
    </row>
    <row r="141" spans="1:13" ht="15" customHeight="1" x14ac:dyDescent="0.75">
      <c r="A141" s="9">
        <v>128</v>
      </c>
      <c r="B141" s="10" t="s">
        <v>198</v>
      </c>
      <c r="C141" s="10" t="s">
        <v>24</v>
      </c>
      <c r="D141" s="11">
        <v>9.99</v>
      </c>
      <c r="E141" s="11">
        <v>7</v>
      </c>
      <c r="F141" s="12">
        <f t="shared" si="12"/>
        <v>0</v>
      </c>
      <c r="G141" s="11">
        <v>8.49</v>
      </c>
      <c r="H141" s="13">
        <f t="shared" si="13"/>
        <v>9.9882352941176471</v>
      </c>
      <c r="I141" s="14">
        <f t="shared" si="14"/>
        <v>9.99</v>
      </c>
      <c r="J141" s="13">
        <f t="shared" si="15"/>
        <v>8.4915000000000003</v>
      </c>
      <c r="K141" s="15">
        <v>0.5</v>
      </c>
      <c r="L141" s="16">
        <v>0.01</v>
      </c>
      <c r="M141" s="17"/>
    </row>
    <row r="142" spans="1:13" ht="15" customHeight="1" x14ac:dyDescent="0.75">
      <c r="A142" s="9">
        <v>129</v>
      </c>
      <c r="B142" s="10" t="s">
        <v>199</v>
      </c>
      <c r="C142" s="10" t="s">
        <v>24</v>
      </c>
      <c r="D142" s="11">
        <v>9.99</v>
      </c>
      <c r="E142" s="11">
        <v>7</v>
      </c>
      <c r="F142" s="12">
        <f t="shared" si="12"/>
        <v>0</v>
      </c>
      <c r="G142" s="11">
        <v>4.8099999999999996</v>
      </c>
      <c r="H142" s="13">
        <f t="shared" si="13"/>
        <v>5.6588235294117641</v>
      </c>
      <c r="I142" s="14">
        <f t="shared" si="14"/>
        <v>5.99</v>
      </c>
      <c r="J142" s="13">
        <f t="shared" si="15"/>
        <v>5.0914999999999999</v>
      </c>
      <c r="K142" s="15">
        <v>0.5</v>
      </c>
      <c r="L142" s="16">
        <v>0.01</v>
      </c>
      <c r="M142" s="17" t="s">
        <v>200</v>
      </c>
    </row>
    <row r="143" spans="1:13" ht="15" customHeight="1" x14ac:dyDescent="0.75">
      <c r="A143" s="9">
        <v>130</v>
      </c>
      <c r="B143" s="10" t="s">
        <v>201</v>
      </c>
      <c r="C143" s="10" t="s">
        <v>202</v>
      </c>
      <c r="D143" s="90">
        <v>44.9</v>
      </c>
      <c r="E143" s="90">
        <v>26.64</v>
      </c>
      <c r="F143" s="12">
        <f t="shared" si="12"/>
        <v>0.18</v>
      </c>
      <c r="G143" s="90">
        <v>16.5</v>
      </c>
      <c r="H143" s="91">
        <f t="shared" si="13"/>
        <v>22.905882352941177</v>
      </c>
      <c r="I143" s="92">
        <f t="shared" si="14"/>
        <v>23.9</v>
      </c>
      <c r="J143" s="91">
        <f t="shared" si="15"/>
        <v>17.216101694915253</v>
      </c>
      <c r="K143" s="15">
        <v>1</v>
      </c>
      <c r="L143" s="16">
        <v>0.1</v>
      </c>
      <c r="M143" s="17"/>
    </row>
    <row r="144" spans="1:13" ht="15" customHeight="1" x14ac:dyDescent="0.75">
      <c r="A144" s="9">
        <v>131</v>
      </c>
      <c r="B144" s="10" t="s">
        <v>203</v>
      </c>
      <c r="C144" s="10" t="s">
        <v>24</v>
      </c>
      <c r="D144" s="11">
        <v>9.99</v>
      </c>
      <c r="E144" s="11">
        <v>7</v>
      </c>
      <c r="F144" s="12">
        <f t="shared" si="12"/>
        <v>0</v>
      </c>
      <c r="G144" s="11">
        <v>6.49</v>
      </c>
      <c r="H144" s="13">
        <f t="shared" si="13"/>
        <v>7.6352941176470592</v>
      </c>
      <c r="I144" s="14">
        <f t="shared" si="14"/>
        <v>7.99</v>
      </c>
      <c r="J144" s="13">
        <f t="shared" si="15"/>
        <v>6.7915000000000001</v>
      </c>
      <c r="K144" s="15">
        <v>0.5</v>
      </c>
      <c r="L144" s="16">
        <v>0.01</v>
      </c>
      <c r="M144" s="17"/>
    </row>
    <row r="145" spans="1:13" ht="15" customHeight="1" x14ac:dyDescent="0.75">
      <c r="A145" s="9">
        <v>132</v>
      </c>
      <c r="B145" s="10" t="s">
        <v>204</v>
      </c>
      <c r="C145" s="10" t="s">
        <v>24</v>
      </c>
      <c r="D145" s="11">
        <v>9.99</v>
      </c>
      <c r="E145" s="11">
        <v>7</v>
      </c>
      <c r="F145" s="12">
        <f t="shared" si="12"/>
        <v>0</v>
      </c>
      <c r="G145" s="11">
        <v>6.49</v>
      </c>
      <c r="H145" s="13">
        <f t="shared" si="13"/>
        <v>7.6352941176470592</v>
      </c>
      <c r="I145" s="14">
        <f t="shared" si="14"/>
        <v>7.99</v>
      </c>
      <c r="J145" s="13">
        <f t="shared" si="15"/>
        <v>6.7915000000000001</v>
      </c>
      <c r="K145" s="15">
        <v>0.5</v>
      </c>
      <c r="L145" s="16">
        <v>0.01</v>
      </c>
      <c r="M145" s="17"/>
    </row>
    <row r="146" spans="1:13" ht="15" customHeight="1" x14ac:dyDescent="0.75">
      <c r="A146" s="9">
        <v>133</v>
      </c>
      <c r="B146" s="10" t="s">
        <v>205</v>
      </c>
      <c r="C146" s="10" t="s">
        <v>24</v>
      </c>
      <c r="D146" s="11">
        <v>9.99</v>
      </c>
      <c r="E146" s="11">
        <v>7</v>
      </c>
      <c r="F146" s="12">
        <f t="shared" si="12"/>
        <v>0</v>
      </c>
      <c r="G146" s="11">
        <v>4.99</v>
      </c>
      <c r="H146" s="13">
        <f t="shared" si="13"/>
        <v>5.8705882352941181</v>
      </c>
      <c r="I146" s="14">
        <f t="shared" si="14"/>
        <v>5.99</v>
      </c>
      <c r="J146" s="13">
        <f t="shared" si="15"/>
        <v>5.0914999999999999</v>
      </c>
      <c r="K146" s="15">
        <v>0.5</v>
      </c>
      <c r="L146" s="16">
        <v>0.01</v>
      </c>
      <c r="M146" s="17"/>
    </row>
    <row r="147" spans="1:13" ht="15" customHeight="1" x14ac:dyDescent="0.75">
      <c r="A147" s="9">
        <v>134</v>
      </c>
      <c r="B147" s="10" t="s">
        <v>206</v>
      </c>
      <c r="C147" s="10" t="s">
        <v>24</v>
      </c>
      <c r="D147" s="11">
        <v>9.99</v>
      </c>
      <c r="E147" s="11">
        <v>6.36</v>
      </c>
      <c r="F147" s="12">
        <f t="shared" si="12"/>
        <v>0.1</v>
      </c>
      <c r="G147" s="11">
        <v>4.99</v>
      </c>
      <c r="H147" s="13">
        <f t="shared" si="13"/>
        <v>6.4576470588235306</v>
      </c>
      <c r="I147" s="14">
        <f t="shared" si="14"/>
        <v>6.49</v>
      </c>
      <c r="J147" s="13">
        <f t="shared" si="15"/>
        <v>5.0149999999999997</v>
      </c>
      <c r="K147" s="15">
        <v>0.5</v>
      </c>
      <c r="L147" s="16">
        <v>0.01</v>
      </c>
      <c r="M147" s="17"/>
    </row>
    <row r="148" spans="1:13" ht="15" customHeight="1" x14ac:dyDescent="0.75">
      <c r="A148" s="9">
        <v>135</v>
      </c>
      <c r="B148" s="10" t="s">
        <v>207</v>
      </c>
      <c r="C148" s="10" t="s">
        <v>24</v>
      </c>
      <c r="D148" s="11">
        <v>9.99</v>
      </c>
      <c r="E148" s="11">
        <v>7</v>
      </c>
      <c r="F148" s="12">
        <f t="shared" si="12"/>
        <v>0</v>
      </c>
      <c r="G148" s="11">
        <v>6.49</v>
      </c>
      <c r="H148" s="13">
        <f t="shared" si="13"/>
        <v>7.6352941176470592</v>
      </c>
      <c r="I148" s="14">
        <f t="shared" si="14"/>
        <v>7.99</v>
      </c>
      <c r="J148" s="13">
        <f t="shared" si="15"/>
        <v>6.7915000000000001</v>
      </c>
      <c r="K148" s="15">
        <v>0.5</v>
      </c>
      <c r="L148" s="16">
        <v>0.01</v>
      </c>
      <c r="M148" s="17"/>
    </row>
    <row r="149" spans="1:13" ht="15" customHeight="1" x14ac:dyDescent="0.75">
      <c r="A149" s="9">
        <v>136</v>
      </c>
      <c r="B149" s="10" t="s">
        <v>208</v>
      </c>
      <c r="C149" s="10" t="s">
        <v>24</v>
      </c>
      <c r="D149" s="11">
        <v>9.99</v>
      </c>
      <c r="E149" s="11">
        <v>7</v>
      </c>
      <c r="F149" s="12">
        <f t="shared" si="12"/>
        <v>0</v>
      </c>
      <c r="G149" s="11">
        <v>6.49</v>
      </c>
      <c r="H149" s="13">
        <f t="shared" si="13"/>
        <v>7.6352941176470592</v>
      </c>
      <c r="I149" s="14">
        <f t="shared" si="14"/>
        <v>7.99</v>
      </c>
      <c r="J149" s="13">
        <f t="shared" si="15"/>
        <v>6.7915000000000001</v>
      </c>
      <c r="K149" s="15">
        <v>0.5</v>
      </c>
      <c r="L149" s="16">
        <v>0.01</v>
      </c>
      <c r="M149" s="17"/>
    </row>
    <row r="150" spans="1:13" ht="15" customHeight="1" x14ac:dyDescent="0.75">
      <c r="A150" s="9">
        <v>137</v>
      </c>
      <c r="B150" s="10" t="s">
        <v>209</v>
      </c>
      <c r="C150" s="10" t="s">
        <v>24</v>
      </c>
      <c r="D150" s="11">
        <v>9.99</v>
      </c>
      <c r="E150" s="11">
        <v>6.77</v>
      </c>
      <c r="F150" s="12">
        <f t="shared" si="12"/>
        <v>3.5000000000000003E-2</v>
      </c>
      <c r="G150" s="11">
        <v>6.49</v>
      </c>
      <c r="H150" s="13">
        <f t="shared" si="13"/>
        <v>7.9025294117647054</v>
      </c>
      <c r="I150" s="14">
        <f t="shared" si="14"/>
        <v>7.99</v>
      </c>
      <c r="J150" s="13">
        <f t="shared" si="15"/>
        <v>6.5618357487922712</v>
      </c>
      <c r="K150" s="15">
        <v>0.5</v>
      </c>
      <c r="L150" s="16">
        <v>0.01</v>
      </c>
      <c r="M150" s="17"/>
    </row>
    <row r="151" spans="1:13" ht="15" customHeight="1" x14ac:dyDescent="0.75">
      <c r="A151" s="9">
        <v>138</v>
      </c>
      <c r="B151" s="10" t="s">
        <v>210</v>
      </c>
      <c r="C151" s="10" t="s">
        <v>24</v>
      </c>
      <c r="D151" s="11">
        <v>9.99</v>
      </c>
      <c r="E151" s="11">
        <v>7</v>
      </c>
      <c r="F151" s="12">
        <f t="shared" si="12"/>
        <v>0</v>
      </c>
      <c r="G151" s="11">
        <v>2.4900000000000002</v>
      </c>
      <c r="H151" s="13">
        <f t="shared" si="13"/>
        <v>2.9294117647058826</v>
      </c>
      <c r="I151" s="14">
        <f t="shared" si="14"/>
        <v>2.99</v>
      </c>
      <c r="J151" s="13">
        <f t="shared" si="15"/>
        <v>2.5415000000000001</v>
      </c>
      <c r="K151" s="15">
        <v>0.5</v>
      </c>
      <c r="L151" s="16">
        <v>0.01</v>
      </c>
      <c r="M151" s="17"/>
    </row>
    <row r="152" spans="1:13" ht="15" customHeight="1" x14ac:dyDescent="0.75">
      <c r="A152" s="208" t="s">
        <v>211</v>
      </c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</row>
    <row r="153" spans="1:13" ht="15" customHeight="1" x14ac:dyDescent="0.75">
      <c r="A153" s="9">
        <v>139</v>
      </c>
      <c r="B153" s="10" t="s">
        <v>212</v>
      </c>
      <c r="C153" s="10" t="s">
        <v>213</v>
      </c>
      <c r="D153" s="93">
        <v>14.99</v>
      </c>
      <c r="E153" s="93">
        <v>9.5399999999999991</v>
      </c>
      <c r="F153" s="12">
        <f t="shared" ref="F153:F189" si="16">MAX(0,ROUND((D153*(1-$D$5)/E153-1)/0.005,0)*0.005)</f>
        <v>0.1</v>
      </c>
      <c r="G153" s="93">
        <v>13.99</v>
      </c>
      <c r="H153" s="94">
        <f t="shared" ref="H153:H189" si="17">G153/(1-$D$4)*(1+F153)</f>
        <v>18.104705882352945</v>
      </c>
      <c r="I153" s="95">
        <f t="shared" ref="I153:I189" si="18">CEILING(H153+L153,K153)-L153</f>
        <v>18.489999999999998</v>
      </c>
      <c r="J153" s="94">
        <f t="shared" ref="J153:J189" si="19">I153/(1+F153)*(1-$D$4)</f>
        <v>14.287727272727269</v>
      </c>
      <c r="K153" s="15">
        <v>0.5</v>
      </c>
      <c r="L153" s="16">
        <v>0.01</v>
      </c>
      <c r="M153" s="17"/>
    </row>
    <row r="154" spans="1:13" ht="15" customHeight="1" x14ac:dyDescent="0.75">
      <c r="A154" s="9">
        <v>140</v>
      </c>
      <c r="B154" s="10" t="s">
        <v>214</v>
      </c>
      <c r="C154" s="10" t="s">
        <v>24</v>
      </c>
      <c r="D154" s="11">
        <v>9.99</v>
      </c>
      <c r="E154" s="11">
        <v>6.66</v>
      </c>
      <c r="F154" s="12">
        <f t="shared" si="16"/>
        <v>0.05</v>
      </c>
      <c r="G154" s="11">
        <v>4.99</v>
      </c>
      <c r="H154" s="13">
        <f t="shared" si="17"/>
        <v>6.1641176470588244</v>
      </c>
      <c r="I154" s="14">
        <f t="shared" si="18"/>
        <v>6.49</v>
      </c>
      <c r="J154" s="13">
        <f t="shared" si="19"/>
        <v>5.2538095238095242</v>
      </c>
      <c r="K154" s="15">
        <v>0.5</v>
      </c>
      <c r="L154" s="16">
        <v>0.01</v>
      </c>
      <c r="M154" s="17"/>
    </row>
    <row r="155" spans="1:13" ht="15" customHeight="1" x14ac:dyDescent="0.75">
      <c r="A155" s="9">
        <v>141</v>
      </c>
      <c r="B155" s="10" t="s">
        <v>215</v>
      </c>
      <c r="C155" s="10" t="s">
        <v>24</v>
      </c>
      <c r="D155" s="11">
        <v>9.99</v>
      </c>
      <c r="E155" s="11">
        <v>7</v>
      </c>
      <c r="F155" s="12">
        <f t="shared" si="16"/>
        <v>0</v>
      </c>
      <c r="G155" s="11">
        <v>9.99</v>
      </c>
      <c r="H155" s="13">
        <f t="shared" si="17"/>
        <v>11.752941176470589</v>
      </c>
      <c r="I155" s="14">
        <f t="shared" si="18"/>
        <v>11.99</v>
      </c>
      <c r="J155" s="13">
        <f t="shared" si="19"/>
        <v>10.1915</v>
      </c>
      <c r="K155" s="15">
        <v>0.5</v>
      </c>
      <c r="L155" s="16">
        <v>0.01</v>
      </c>
      <c r="M155" s="17"/>
    </row>
    <row r="156" spans="1:13" ht="15" customHeight="1" x14ac:dyDescent="0.75">
      <c r="A156" s="9">
        <v>142</v>
      </c>
      <c r="B156" s="10" t="s">
        <v>216</v>
      </c>
      <c r="C156" s="10" t="s">
        <v>24</v>
      </c>
      <c r="D156" s="11">
        <v>9.99</v>
      </c>
      <c r="E156" s="11">
        <v>6.36</v>
      </c>
      <c r="F156" s="12">
        <f t="shared" si="16"/>
        <v>0.1</v>
      </c>
      <c r="G156" s="11">
        <v>3.49</v>
      </c>
      <c r="H156" s="13">
        <f t="shared" si="17"/>
        <v>4.5164705882352951</v>
      </c>
      <c r="I156" s="14">
        <f t="shared" si="18"/>
        <v>4.99</v>
      </c>
      <c r="J156" s="13">
        <f t="shared" si="19"/>
        <v>3.8559090909090905</v>
      </c>
      <c r="K156" s="15">
        <v>0.5</v>
      </c>
      <c r="L156" s="16">
        <v>0.01</v>
      </c>
      <c r="M156" s="17"/>
    </row>
    <row r="157" spans="1:13" ht="15" customHeight="1" x14ac:dyDescent="0.75">
      <c r="A157" s="9">
        <v>143</v>
      </c>
      <c r="B157" s="10" t="s">
        <v>217</v>
      </c>
      <c r="C157" s="10" t="s">
        <v>218</v>
      </c>
      <c r="D157" s="96">
        <v>68</v>
      </c>
      <c r="E157" s="96">
        <v>46.76</v>
      </c>
      <c r="F157" s="12">
        <f t="shared" si="16"/>
        <v>0.02</v>
      </c>
      <c r="G157" s="96">
        <v>40</v>
      </c>
      <c r="H157" s="97">
        <f t="shared" si="17"/>
        <v>48.000000000000007</v>
      </c>
      <c r="I157" s="98">
        <f t="shared" si="18"/>
        <v>48</v>
      </c>
      <c r="J157" s="97">
        <f t="shared" si="19"/>
        <v>39.999999999999993</v>
      </c>
      <c r="K157" s="15">
        <v>1</v>
      </c>
      <c r="L157" s="16">
        <v>0</v>
      </c>
      <c r="M157" s="17" t="s">
        <v>219</v>
      </c>
    </row>
    <row r="158" spans="1:13" ht="15" customHeight="1" x14ac:dyDescent="0.75">
      <c r="A158" s="9">
        <v>144</v>
      </c>
      <c r="B158" s="10" t="s">
        <v>220</v>
      </c>
      <c r="C158" s="10" t="s">
        <v>24</v>
      </c>
      <c r="D158" s="11">
        <v>9.99</v>
      </c>
      <c r="E158" s="11">
        <v>7</v>
      </c>
      <c r="F158" s="12">
        <f t="shared" si="16"/>
        <v>0</v>
      </c>
      <c r="G158" s="11">
        <v>4.99</v>
      </c>
      <c r="H158" s="13">
        <f t="shared" si="17"/>
        <v>5.8705882352941181</v>
      </c>
      <c r="I158" s="14">
        <f t="shared" si="18"/>
        <v>5.99</v>
      </c>
      <c r="J158" s="13">
        <f t="shared" si="19"/>
        <v>5.0914999999999999</v>
      </c>
      <c r="K158" s="15">
        <v>0.5</v>
      </c>
      <c r="L158" s="16">
        <v>0.01</v>
      </c>
      <c r="M158" s="17"/>
    </row>
    <row r="159" spans="1:13" ht="15" customHeight="1" x14ac:dyDescent="0.75">
      <c r="A159" s="9">
        <v>145</v>
      </c>
      <c r="B159" s="10" t="s">
        <v>221</v>
      </c>
      <c r="C159" s="10" t="s">
        <v>222</v>
      </c>
      <c r="D159" s="99">
        <v>88</v>
      </c>
      <c r="E159" s="99">
        <v>61.6</v>
      </c>
      <c r="F159" s="12">
        <f t="shared" si="16"/>
        <v>0</v>
      </c>
      <c r="G159" s="99">
        <v>78</v>
      </c>
      <c r="H159" s="100">
        <f t="shared" si="17"/>
        <v>91.764705882352942</v>
      </c>
      <c r="I159" s="101">
        <f t="shared" si="18"/>
        <v>92</v>
      </c>
      <c r="J159" s="100">
        <f t="shared" si="19"/>
        <v>78.2</v>
      </c>
      <c r="K159" s="15">
        <v>1</v>
      </c>
      <c r="L159" s="16">
        <v>0</v>
      </c>
      <c r="M159" s="17"/>
    </row>
    <row r="160" spans="1:13" ht="15" customHeight="1" x14ac:dyDescent="0.75">
      <c r="A160" s="9">
        <v>146</v>
      </c>
      <c r="B160" s="10" t="s">
        <v>223</v>
      </c>
      <c r="C160" s="10" t="s">
        <v>224</v>
      </c>
      <c r="D160" s="102">
        <v>199000</v>
      </c>
      <c r="E160" s="102">
        <v>125495</v>
      </c>
      <c r="F160" s="12">
        <f t="shared" si="16"/>
        <v>0.11</v>
      </c>
      <c r="G160" s="102">
        <v>86000</v>
      </c>
      <c r="H160" s="103">
        <f t="shared" si="17"/>
        <v>112305.88235294119</v>
      </c>
      <c r="I160" s="104">
        <f t="shared" si="18"/>
        <v>113000</v>
      </c>
      <c r="J160" s="103">
        <f t="shared" si="19"/>
        <v>86531.531531531524</v>
      </c>
      <c r="K160" s="15">
        <v>1000</v>
      </c>
      <c r="L160" s="16">
        <v>0</v>
      </c>
      <c r="M160" s="17"/>
    </row>
    <row r="161" spans="1:13" ht="15" customHeight="1" x14ac:dyDescent="0.75">
      <c r="A161" s="9">
        <v>147</v>
      </c>
      <c r="B161" s="10" t="s">
        <v>225</v>
      </c>
      <c r="C161" s="10" t="s">
        <v>226</v>
      </c>
      <c r="D161" s="96">
        <v>1500</v>
      </c>
      <c r="E161" s="96">
        <v>955</v>
      </c>
      <c r="F161" s="12">
        <f t="shared" si="16"/>
        <v>0.1</v>
      </c>
      <c r="G161" s="96">
        <v>1340</v>
      </c>
      <c r="H161" s="97">
        <f t="shared" si="17"/>
        <v>1734.1176470588236</v>
      </c>
      <c r="I161" s="98">
        <f t="shared" si="18"/>
        <v>1740</v>
      </c>
      <c r="J161" s="97">
        <f t="shared" si="19"/>
        <v>1344.5454545454545</v>
      </c>
      <c r="K161" s="15">
        <v>10</v>
      </c>
      <c r="L161" s="16">
        <v>0</v>
      </c>
      <c r="M161" s="17"/>
    </row>
    <row r="162" spans="1:13" ht="15" customHeight="1" x14ac:dyDescent="0.75">
      <c r="A162" s="9">
        <v>148</v>
      </c>
      <c r="B162" s="10" t="s">
        <v>227</v>
      </c>
      <c r="C162" s="10" t="s">
        <v>228</v>
      </c>
      <c r="D162" s="105">
        <v>5990</v>
      </c>
      <c r="E162" s="105">
        <v>3614.66</v>
      </c>
      <c r="F162" s="12">
        <f t="shared" si="16"/>
        <v>0.16</v>
      </c>
      <c r="G162" s="105">
        <v>3750</v>
      </c>
      <c r="H162" s="106">
        <f t="shared" si="17"/>
        <v>5117.6470588235297</v>
      </c>
      <c r="I162" s="107">
        <f t="shared" si="18"/>
        <v>5190</v>
      </c>
      <c r="J162" s="106">
        <f t="shared" si="19"/>
        <v>3803.0172413793102</v>
      </c>
      <c r="K162" s="15">
        <v>100</v>
      </c>
      <c r="L162" s="16">
        <v>10</v>
      </c>
      <c r="M162" s="17"/>
    </row>
    <row r="163" spans="1:13" ht="15" customHeight="1" x14ac:dyDescent="0.75">
      <c r="A163" s="9">
        <v>149</v>
      </c>
      <c r="B163" s="10" t="s">
        <v>229</v>
      </c>
      <c r="C163" s="10" t="s">
        <v>230</v>
      </c>
      <c r="D163" s="108">
        <v>17000</v>
      </c>
      <c r="E163" s="108">
        <v>10818</v>
      </c>
      <c r="F163" s="12">
        <f t="shared" si="16"/>
        <v>0.1</v>
      </c>
      <c r="G163" s="108">
        <v>11500</v>
      </c>
      <c r="H163" s="109">
        <f t="shared" si="17"/>
        <v>14882.352941176472</v>
      </c>
      <c r="I163" s="110">
        <f t="shared" si="18"/>
        <v>14900</v>
      </c>
      <c r="J163" s="109">
        <f t="shared" si="19"/>
        <v>11513.636363636362</v>
      </c>
      <c r="K163" s="15">
        <v>100</v>
      </c>
      <c r="L163" s="16">
        <v>0</v>
      </c>
      <c r="M163" s="17"/>
    </row>
    <row r="164" spans="1:13" ht="15" customHeight="1" x14ac:dyDescent="0.75">
      <c r="A164" s="9">
        <v>150</v>
      </c>
      <c r="B164" s="10" t="s">
        <v>231</v>
      </c>
      <c r="C164" s="10" t="s">
        <v>24</v>
      </c>
      <c r="D164" s="11">
        <v>9.99</v>
      </c>
      <c r="E164" s="11">
        <v>6.24</v>
      </c>
      <c r="F164" s="12">
        <f t="shared" si="16"/>
        <v>0.12</v>
      </c>
      <c r="G164" s="11">
        <v>3.49</v>
      </c>
      <c r="H164" s="13">
        <f t="shared" si="17"/>
        <v>4.5985882352941188</v>
      </c>
      <c r="I164" s="14">
        <f t="shared" si="18"/>
        <v>4.99</v>
      </c>
      <c r="J164" s="13">
        <f t="shared" si="19"/>
        <v>3.7870535714285709</v>
      </c>
      <c r="K164" s="15">
        <v>0.5</v>
      </c>
      <c r="L164" s="16">
        <v>0.01</v>
      </c>
      <c r="M164" s="17"/>
    </row>
    <row r="165" spans="1:13" ht="15" customHeight="1" x14ac:dyDescent="0.75">
      <c r="A165" s="9">
        <v>151</v>
      </c>
      <c r="B165" s="10" t="s">
        <v>232</v>
      </c>
      <c r="C165" s="10" t="s">
        <v>24</v>
      </c>
      <c r="D165" s="11">
        <v>9.99</v>
      </c>
      <c r="E165" s="11">
        <v>6.36</v>
      </c>
      <c r="F165" s="12">
        <f t="shared" si="16"/>
        <v>0.1</v>
      </c>
      <c r="G165" s="11">
        <v>3.49</v>
      </c>
      <c r="H165" s="13">
        <f t="shared" si="17"/>
        <v>4.5164705882352951</v>
      </c>
      <c r="I165" s="14">
        <f t="shared" si="18"/>
        <v>4.99</v>
      </c>
      <c r="J165" s="13">
        <f t="shared" si="19"/>
        <v>3.8559090909090905</v>
      </c>
      <c r="K165" s="15">
        <v>0.5</v>
      </c>
      <c r="L165" s="16">
        <v>0.01</v>
      </c>
      <c r="M165" s="17"/>
    </row>
    <row r="166" spans="1:13" ht="15" customHeight="1" x14ac:dyDescent="0.75">
      <c r="A166" s="9">
        <v>152</v>
      </c>
      <c r="B166" s="10" t="s">
        <v>233</v>
      </c>
      <c r="C166" s="10" t="s">
        <v>24</v>
      </c>
      <c r="D166" s="11">
        <v>9.99</v>
      </c>
      <c r="E166" s="11">
        <v>7</v>
      </c>
      <c r="F166" s="12">
        <f t="shared" si="16"/>
        <v>0</v>
      </c>
      <c r="G166" s="11">
        <v>11.49</v>
      </c>
      <c r="H166" s="13">
        <f t="shared" si="17"/>
        <v>13.517647058823529</v>
      </c>
      <c r="I166" s="14">
        <f t="shared" si="18"/>
        <v>13.99</v>
      </c>
      <c r="J166" s="13">
        <f t="shared" si="19"/>
        <v>11.891500000000001</v>
      </c>
      <c r="K166" s="15">
        <v>0.5</v>
      </c>
      <c r="L166" s="16">
        <v>0.01</v>
      </c>
      <c r="M166" s="17" t="s">
        <v>234</v>
      </c>
    </row>
    <row r="167" spans="1:13" ht="15" customHeight="1" x14ac:dyDescent="0.75">
      <c r="A167" s="9">
        <v>153</v>
      </c>
      <c r="B167" s="10" t="s">
        <v>235</v>
      </c>
      <c r="C167" s="10" t="s">
        <v>236</v>
      </c>
      <c r="D167" s="111">
        <v>49.9</v>
      </c>
      <c r="E167" s="111">
        <v>32.340000000000003</v>
      </c>
      <c r="F167" s="12">
        <f t="shared" si="16"/>
        <v>0.08</v>
      </c>
      <c r="G167" s="111">
        <v>34.5</v>
      </c>
      <c r="H167" s="112">
        <f t="shared" si="17"/>
        <v>43.835294117647059</v>
      </c>
      <c r="I167" s="113">
        <f t="shared" si="18"/>
        <v>43.9</v>
      </c>
      <c r="J167" s="112">
        <f t="shared" si="19"/>
        <v>34.550925925925924</v>
      </c>
      <c r="K167" s="15">
        <v>1</v>
      </c>
      <c r="L167" s="16">
        <v>0.1</v>
      </c>
      <c r="M167" s="17"/>
    </row>
    <row r="168" spans="1:13" ht="15" customHeight="1" x14ac:dyDescent="0.75">
      <c r="A168" s="9">
        <v>154</v>
      </c>
      <c r="B168" s="10" t="s">
        <v>237</v>
      </c>
      <c r="C168" s="10" t="s">
        <v>24</v>
      </c>
      <c r="D168" s="11">
        <v>9.99</v>
      </c>
      <c r="E168" s="11">
        <v>7</v>
      </c>
      <c r="F168" s="12">
        <f t="shared" si="16"/>
        <v>0</v>
      </c>
      <c r="G168" s="11">
        <v>6.49</v>
      </c>
      <c r="H168" s="13">
        <f t="shared" si="17"/>
        <v>7.6352941176470592</v>
      </c>
      <c r="I168" s="14">
        <f t="shared" si="18"/>
        <v>7.99</v>
      </c>
      <c r="J168" s="13">
        <f t="shared" si="19"/>
        <v>6.7915000000000001</v>
      </c>
      <c r="K168" s="15">
        <v>0.5</v>
      </c>
      <c r="L168" s="16">
        <v>0.01</v>
      </c>
      <c r="M168" s="17"/>
    </row>
    <row r="169" spans="1:13" ht="15" customHeight="1" x14ac:dyDescent="0.75">
      <c r="A169" s="9">
        <v>155</v>
      </c>
      <c r="B169" s="10" t="s">
        <v>238</v>
      </c>
      <c r="C169" s="10" t="s">
        <v>24</v>
      </c>
      <c r="D169" s="11">
        <v>9.99</v>
      </c>
      <c r="E169" s="11">
        <v>7</v>
      </c>
      <c r="F169" s="12">
        <f t="shared" si="16"/>
        <v>0</v>
      </c>
      <c r="G169" s="11">
        <v>2.4900000000000002</v>
      </c>
      <c r="H169" s="13">
        <f t="shared" si="17"/>
        <v>2.9294117647058826</v>
      </c>
      <c r="I169" s="14">
        <f t="shared" si="18"/>
        <v>2.99</v>
      </c>
      <c r="J169" s="13">
        <f t="shared" si="19"/>
        <v>2.5415000000000001</v>
      </c>
      <c r="K169" s="15">
        <v>0.5</v>
      </c>
      <c r="L169" s="16">
        <v>0.01</v>
      </c>
      <c r="M169" s="17"/>
    </row>
    <row r="170" spans="1:13" ht="15" customHeight="1" x14ac:dyDescent="0.75">
      <c r="A170" s="9">
        <v>156</v>
      </c>
      <c r="B170" s="10" t="s">
        <v>239</v>
      </c>
      <c r="C170" s="10" t="s">
        <v>24</v>
      </c>
      <c r="D170" s="11">
        <v>9.99</v>
      </c>
      <c r="E170" s="11">
        <v>7</v>
      </c>
      <c r="F170" s="12">
        <f t="shared" si="16"/>
        <v>0</v>
      </c>
      <c r="G170" s="11">
        <v>4.8</v>
      </c>
      <c r="H170" s="13">
        <f t="shared" si="17"/>
        <v>5.6470588235294121</v>
      </c>
      <c r="I170" s="14">
        <f t="shared" si="18"/>
        <v>5.99</v>
      </c>
      <c r="J170" s="13">
        <f t="shared" si="19"/>
        <v>5.0914999999999999</v>
      </c>
      <c r="K170" s="15">
        <v>0.5</v>
      </c>
      <c r="L170" s="16">
        <v>0.01</v>
      </c>
      <c r="M170" s="17" t="s">
        <v>240</v>
      </c>
    </row>
    <row r="171" spans="1:13" ht="15" customHeight="1" x14ac:dyDescent="0.75">
      <c r="A171" s="9">
        <v>157</v>
      </c>
      <c r="B171" s="10" t="s">
        <v>241</v>
      </c>
      <c r="C171" s="10" t="s">
        <v>24</v>
      </c>
      <c r="D171" s="11">
        <v>9.99</v>
      </c>
      <c r="E171" s="11">
        <v>7</v>
      </c>
      <c r="F171" s="12">
        <f t="shared" si="16"/>
        <v>0</v>
      </c>
      <c r="G171" s="11">
        <v>2.62</v>
      </c>
      <c r="H171" s="13">
        <f t="shared" si="17"/>
        <v>3.0823529411764707</v>
      </c>
      <c r="I171" s="14">
        <f t="shared" si="18"/>
        <v>3.49</v>
      </c>
      <c r="J171" s="13">
        <f t="shared" si="19"/>
        <v>2.9664999999999999</v>
      </c>
      <c r="K171" s="15">
        <v>0.5</v>
      </c>
      <c r="L171" s="16">
        <v>0.01</v>
      </c>
      <c r="M171" s="17" t="s">
        <v>242</v>
      </c>
    </row>
    <row r="172" spans="1:13" ht="15" customHeight="1" x14ac:dyDescent="0.75">
      <c r="A172" s="9">
        <v>158</v>
      </c>
      <c r="B172" s="10" t="s">
        <v>243</v>
      </c>
      <c r="C172" s="10" t="s">
        <v>24</v>
      </c>
      <c r="D172" s="11">
        <v>9.99</v>
      </c>
      <c r="E172" s="11">
        <v>7</v>
      </c>
      <c r="F172" s="12">
        <f t="shared" si="16"/>
        <v>0</v>
      </c>
      <c r="G172" s="11">
        <v>4.99</v>
      </c>
      <c r="H172" s="13">
        <f t="shared" si="17"/>
        <v>5.8705882352941181</v>
      </c>
      <c r="I172" s="14">
        <f t="shared" si="18"/>
        <v>5.99</v>
      </c>
      <c r="J172" s="13">
        <f t="shared" si="19"/>
        <v>5.0914999999999999</v>
      </c>
      <c r="K172" s="15">
        <v>0.5</v>
      </c>
      <c r="L172" s="16">
        <v>0.01</v>
      </c>
      <c r="M172" s="17"/>
    </row>
    <row r="173" spans="1:13" ht="15" customHeight="1" x14ac:dyDescent="0.75">
      <c r="A173" s="9">
        <v>159</v>
      </c>
      <c r="B173" s="10" t="s">
        <v>244</v>
      </c>
      <c r="C173" s="10" t="s">
        <v>24</v>
      </c>
      <c r="D173" s="11">
        <v>11.99</v>
      </c>
      <c r="E173" s="11">
        <v>7.28</v>
      </c>
      <c r="F173" s="12">
        <f t="shared" si="16"/>
        <v>0.155</v>
      </c>
      <c r="G173" s="11">
        <v>2.4900000000000002</v>
      </c>
      <c r="H173" s="13">
        <f t="shared" si="17"/>
        <v>3.3834705882352947</v>
      </c>
      <c r="I173" s="14">
        <f t="shared" si="18"/>
        <v>3.49</v>
      </c>
      <c r="J173" s="13">
        <f t="shared" si="19"/>
        <v>2.5683982683982682</v>
      </c>
      <c r="K173" s="15">
        <v>0.5</v>
      </c>
      <c r="L173" s="16">
        <v>0.01</v>
      </c>
      <c r="M173" s="17"/>
    </row>
    <row r="174" spans="1:13" ht="15" customHeight="1" x14ac:dyDescent="0.75">
      <c r="A174" s="9">
        <v>160</v>
      </c>
      <c r="B174" s="10" t="s">
        <v>245</v>
      </c>
      <c r="C174" s="10" t="s">
        <v>246</v>
      </c>
      <c r="D174" s="114">
        <v>19.989999999999998</v>
      </c>
      <c r="E174" s="114">
        <v>12.17</v>
      </c>
      <c r="F174" s="12">
        <f t="shared" si="16"/>
        <v>0.15</v>
      </c>
      <c r="G174" s="114">
        <v>11.49</v>
      </c>
      <c r="H174" s="115">
        <f t="shared" si="17"/>
        <v>15.545294117647057</v>
      </c>
      <c r="I174" s="116">
        <f t="shared" si="18"/>
        <v>15.99</v>
      </c>
      <c r="J174" s="115">
        <f t="shared" si="19"/>
        <v>11.818695652173915</v>
      </c>
      <c r="K174" s="15">
        <v>0.5</v>
      </c>
      <c r="L174" s="16">
        <v>0.01</v>
      </c>
      <c r="M174" s="17"/>
    </row>
    <row r="175" spans="1:13" ht="15" customHeight="1" x14ac:dyDescent="0.75">
      <c r="A175" s="9">
        <v>161</v>
      </c>
      <c r="B175" s="10" t="s">
        <v>247</v>
      </c>
      <c r="C175" s="10" t="s">
        <v>248</v>
      </c>
      <c r="D175" s="117">
        <v>2900</v>
      </c>
      <c r="E175" s="117">
        <v>2030</v>
      </c>
      <c r="F175" s="12">
        <f t="shared" si="16"/>
        <v>0</v>
      </c>
      <c r="G175" s="117">
        <v>720</v>
      </c>
      <c r="H175" s="118">
        <f t="shared" si="17"/>
        <v>847.05882352941182</v>
      </c>
      <c r="I175" s="119">
        <f t="shared" si="18"/>
        <v>849</v>
      </c>
      <c r="J175" s="118">
        <f t="shared" si="19"/>
        <v>721.65</v>
      </c>
      <c r="K175" s="15">
        <v>10</v>
      </c>
      <c r="L175" s="16">
        <v>1</v>
      </c>
      <c r="M175" s="17"/>
    </row>
    <row r="176" spans="1:13" ht="15" customHeight="1" x14ac:dyDescent="0.75">
      <c r="A176" s="9">
        <v>162</v>
      </c>
      <c r="B176" s="10" t="s">
        <v>249</v>
      </c>
      <c r="C176" s="10" t="s">
        <v>24</v>
      </c>
      <c r="D176" s="11">
        <v>9.99</v>
      </c>
      <c r="E176" s="11">
        <v>7</v>
      </c>
      <c r="F176" s="12">
        <f t="shared" si="16"/>
        <v>0</v>
      </c>
      <c r="G176" s="11">
        <v>6.49</v>
      </c>
      <c r="H176" s="13">
        <f t="shared" si="17"/>
        <v>7.6352941176470592</v>
      </c>
      <c r="I176" s="14">
        <f t="shared" si="18"/>
        <v>7.99</v>
      </c>
      <c r="J176" s="13">
        <f t="shared" si="19"/>
        <v>6.7915000000000001</v>
      </c>
      <c r="K176" s="15">
        <v>0.5</v>
      </c>
      <c r="L176" s="16">
        <v>0.01</v>
      </c>
      <c r="M176" s="17"/>
    </row>
    <row r="177" spans="1:13" ht="15" customHeight="1" x14ac:dyDescent="0.75">
      <c r="A177" s="9">
        <v>163</v>
      </c>
      <c r="B177" s="10" t="s">
        <v>250</v>
      </c>
      <c r="C177" s="10" t="s">
        <v>24</v>
      </c>
      <c r="D177" s="11">
        <v>9.99</v>
      </c>
      <c r="E177" s="11">
        <v>7</v>
      </c>
      <c r="F177" s="12">
        <f t="shared" si="16"/>
        <v>0</v>
      </c>
      <c r="G177" s="11">
        <v>2.4900000000000002</v>
      </c>
      <c r="H177" s="13">
        <f t="shared" si="17"/>
        <v>2.9294117647058826</v>
      </c>
      <c r="I177" s="14">
        <f t="shared" si="18"/>
        <v>2.99</v>
      </c>
      <c r="J177" s="13">
        <f t="shared" si="19"/>
        <v>2.5415000000000001</v>
      </c>
      <c r="K177" s="15">
        <v>0.5</v>
      </c>
      <c r="L177" s="16">
        <v>0.01</v>
      </c>
      <c r="M177" s="17"/>
    </row>
    <row r="178" spans="1:13" ht="15" customHeight="1" x14ac:dyDescent="0.75">
      <c r="A178" s="9">
        <v>164</v>
      </c>
      <c r="B178" s="10" t="s">
        <v>251</v>
      </c>
      <c r="C178" s="10" t="s">
        <v>252</v>
      </c>
      <c r="D178" s="120">
        <v>599</v>
      </c>
      <c r="E178" s="120">
        <v>374.38</v>
      </c>
      <c r="F178" s="12">
        <f t="shared" si="16"/>
        <v>0.12</v>
      </c>
      <c r="G178" s="120">
        <v>300</v>
      </c>
      <c r="H178" s="121">
        <f t="shared" si="17"/>
        <v>395.29411764705884</v>
      </c>
      <c r="I178" s="122">
        <f t="shared" si="18"/>
        <v>399</v>
      </c>
      <c r="J178" s="121">
        <f t="shared" si="19"/>
        <v>302.81249999999994</v>
      </c>
      <c r="K178" s="15">
        <v>10</v>
      </c>
      <c r="L178" s="16">
        <v>1</v>
      </c>
      <c r="M178" s="17"/>
    </row>
    <row r="179" spans="1:13" ht="15" customHeight="1" x14ac:dyDescent="0.75">
      <c r="A179" s="9">
        <v>165</v>
      </c>
      <c r="B179" s="10" t="s">
        <v>253</v>
      </c>
      <c r="C179" s="10" t="s">
        <v>254</v>
      </c>
      <c r="D179" s="123">
        <v>14.98</v>
      </c>
      <c r="E179" s="123">
        <v>9.6199999999999992</v>
      </c>
      <c r="F179" s="12">
        <f t="shared" si="16"/>
        <v>0.09</v>
      </c>
      <c r="G179" s="123">
        <v>14.98</v>
      </c>
      <c r="H179" s="124">
        <f t="shared" si="17"/>
        <v>19.209647058823531</v>
      </c>
      <c r="I179" s="125">
        <f t="shared" si="18"/>
        <v>19.48</v>
      </c>
      <c r="J179" s="124">
        <f t="shared" si="19"/>
        <v>15.190825688073394</v>
      </c>
      <c r="K179" s="15">
        <v>0.5</v>
      </c>
      <c r="L179" s="16">
        <v>0.02</v>
      </c>
      <c r="M179" s="17"/>
    </row>
    <row r="180" spans="1:13" ht="15" customHeight="1" x14ac:dyDescent="0.75">
      <c r="A180" s="9">
        <v>166</v>
      </c>
      <c r="B180" s="10" t="s">
        <v>255</v>
      </c>
      <c r="C180" s="10" t="s">
        <v>24</v>
      </c>
      <c r="D180" s="11">
        <v>9.99</v>
      </c>
      <c r="E180" s="11">
        <v>7</v>
      </c>
      <c r="F180" s="12">
        <f t="shared" si="16"/>
        <v>0</v>
      </c>
      <c r="G180" s="11">
        <v>1.49</v>
      </c>
      <c r="H180" s="13">
        <f t="shared" si="17"/>
        <v>1.7529411764705882</v>
      </c>
      <c r="I180" s="14">
        <f t="shared" si="18"/>
        <v>1.99</v>
      </c>
      <c r="J180" s="13">
        <f t="shared" si="19"/>
        <v>1.6915</v>
      </c>
      <c r="K180" s="15">
        <v>0.5</v>
      </c>
      <c r="L180" s="16">
        <v>0.01</v>
      </c>
      <c r="M180" s="17"/>
    </row>
    <row r="181" spans="1:13" ht="15" customHeight="1" x14ac:dyDescent="0.75">
      <c r="A181" s="9">
        <v>167</v>
      </c>
      <c r="B181" s="10" t="s">
        <v>256</v>
      </c>
      <c r="C181" s="10" t="s">
        <v>24</v>
      </c>
      <c r="D181" s="11">
        <v>9.99</v>
      </c>
      <c r="E181" s="11">
        <v>7</v>
      </c>
      <c r="F181" s="12">
        <f t="shared" si="16"/>
        <v>0</v>
      </c>
      <c r="G181" s="11">
        <v>4.7699999999999996</v>
      </c>
      <c r="H181" s="13">
        <f t="shared" si="17"/>
        <v>5.6117647058823525</v>
      </c>
      <c r="I181" s="14">
        <f t="shared" si="18"/>
        <v>5.99</v>
      </c>
      <c r="J181" s="13">
        <f t="shared" si="19"/>
        <v>5.0914999999999999</v>
      </c>
      <c r="K181" s="15">
        <v>0.5</v>
      </c>
      <c r="L181" s="16">
        <v>0.01</v>
      </c>
      <c r="M181" s="17" t="s">
        <v>257</v>
      </c>
    </row>
    <row r="182" spans="1:13" ht="15" customHeight="1" x14ac:dyDescent="0.75">
      <c r="A182" s="9">
        <v>168</v>
      </c>
      <c r="B182" s="10" t="s">
        <v>258</v>
      </c>
      <c r="C182" s="10" t="s">
        <v>259</v>
      </c>
      <c r="D182" s="126">
        <v>320</v>
      </c>
      <c r="E182" s="126">
        <v>207</v>
      </c>
      <c r="F182" s="12">
        <f t="shared" si="16"/>
        <v>0.08</v>
      </c>
      <c r="G182" s="126">
        <v>315</v>
      </c>
      <c r="H182" s="127">
        <f t="shared" si="17"/>
        <v>400.23529411764713</v>
      </c>
      <c r="I182" s="128">
        <f t="shared" si="18"/>
        <v>410</v>
      </c>
      <c r="J182" s="127">
        <f t="shared" si="19"/>
        <v>322.68518518518516</v>
      </c>
      <c r="K182" s="15">
        <v>10</v>
      </c>
      <c r="L182" s="16">
        <v>0</v>
      </c>
      <c r="M182" s="17"/>
    </row>
    <row r="183" spans="1:13" ht="15" customHeight="1" x14ac:dyDescent="0.75">
      <c r="A183" s="9">
        <v>169</v>
      </c>
      <c r="B183" s="10" t="s">
        <v>260</v>
      </c>
      <c r="C183" s="10" t="s">
        <v>24</v>
      </c>
      <c r="D183" s="11">
        <v>9.99</v>
      </c>
      <c r="E183" s="11">
        <v>6.13</v>
      </c>
      <c r="F183" s="12">
        <f t="shared" si="16"/>
        <v>0.14000000000000001</v>
      </c>
      <c r="G183" s="11">
        <v>3.49</v>
      </c>
      <c r="H183" s="13">
        <f t="shared" si="17"/>
        <v>4.6807058823529424</v>
      </c>
      <c r="I183" s="14">
        <f t="shared" si="18"/>
        <v>4.99</v>
      </c>
      <c r="J183" s="13">
        <f t="shared" si="19"/>
        <v>3.7206140350877193</v>
      </c>
      <c r="K183" s="15">
        <v>0.5</v>
      </c>
      <c r="L183" s="16">
        <v>0.01</v>
      </c>
      <c r="M183" s="17"/>
    </row>
    <row r="184" spans="1:13" ht="15" customHeight="1" x14ac:dyDescent="0.75">
      <c r="A184" s="9">
        <v>170</v>
      </c>
      <c r="B184" s="10" t="s">
        <v>261</v>
      </c>
      <c r="C184" s="10" t="s">
        <v>262</v>
      </c>
      <c r="D184" s="129">
        <v>399</v>
      </c>
      <c r="E184" s="129">
        <v>261.02999999999997</v>
      </c>
      <c r="F184" s="12">
        <f t="shared" si="16"/>
        <v>7.0000000000000007E-2</v>
      </c>
      <c r="G184" s="129">
        <v>215</v>
      </c>
      <c r="H184" s="130">
        <f t="shared" si="17"/>
        <v>270.64705882352945</v>
      </c>
      <c r="I184" s="131">
        <f t="shared" si="18"/>
        <v>279</v>
      </c>
      <c r="J184" s="130">
        <f t="shared" si="19"/>
        <v>221.63551401869157</v>
      </c>
      <c r="K184" s="15">
        <v>10</v>
      </c>
      <c r="L184" s="16">
        <v>1</v>
      </c>
      <c r="M184" s="17"/>
    </row>
    <row r="185" spans="1:13" ht="15" customHeight="1" x14ac:dyDescent="0.75">
      <c r="A185" s="9">
        <v>171</v>
      </c>
      <c r="B185" s="10" t="s">
        <v>263</v>
      </c>
      <c r="C185" s="10" t="s">
        <v>24</v>
      </c>
      <c r="D185" s="11">
        <v>9.99</v>
      </c>
      <c r="E185" s="11">
        <v>7</v>
      </c>
      <c r="F185" s="12">
        <f t="shared" si="16"/>
        <v>0</v>
      </c>
      <c r="G185" s="11">
        <v>3.49</v>
      </c>
      <c r="H185" s="13">
        <f t="shared" si="17"/>
        <v>4.105882352941177</v>
      </c>
      <c r="I185" s="14">
        <f t="shared" si="18"/>
        <v>4.49</v>
      </c>
      <c r="J185" s="13">
        <f t="shared" si="19"/>
        <v>3.8165</v>
      </c>
      <c r="K185" s="15">
        <v>0.5</v>
      </c>
      <c r="L185" s="16">
        <v>0.01</v>
      </c>
      <c r="M185" s="17"/>
    </row>
    <row r="186" spans="1:13" ht="15" customHeight="1" x14ac:dyDescent="0.75">
      <c r="A186" s="9">
        <v>172</v>
      </c>
      <c r="B186" s="10" t="s">
        <v>264</v>
      </c>
      <c r="C186" s="10" t="s">
        <v>24</v>
      </c>
      <c r="D186" s="11">
        <v>9.99</v>
      </c>
      <c r="E186" s="11">
        <v>7</v>
      </c>
      <c r="F186" s="12">
        <f t="shared" si="16"/>
        <v>0</v>
      </c>
      <c r="G186" s="11">
        <v>4.99</v>
      </c>
      <c r="H186" s="13">
        <f t="shared" si="17"/>
        <v>5.8705882352941181</v>
      </c>
      <c r="I186" s="14">
        <f t="shared" si="18"/>
        <v>5.99</v>
      </c>
      <c r="J186" s="13">
        <f t="shared" si="19"/>
        <v>5.0914999999999999</v>
      </c>
      <c r="K186" s="15">
        <v>0.5</v>
      </c>
      <c r="L186" s="16">
        <v>0.01</v>
      </c>
      <c r="M186" s="17"/>
    </row>
    <row r="187" spans="1:13" ht="15" customHeight="1" x14ac:dyDescent="0.75">
      <c r="A187" s="9">
        <v>173</v>
      </c>
      <c r="B187" s="10" t="s">
        <v>265</v>
      </c>
      <c r="C187" s="10" t="s">
        <v>24</v>
      </c>
      <c r="D187" s="11">
        <v>9.99</v>
      </c>
      <c r="E187" s="11">
        <v>6.24</v>
      </c>
      <c r="F187" s="12">
        <f t="shared" si="16"/>
        <v>0.12</v>
      </c>
      <c r="G187" s="11">
        <v>3.49</v>
      </c>
      <c r="H187" s="13">
        <f t="shared" si="17"/>
        <v>4.5985882352941188</v>
      </c>
      <c r="I187" s="14">
        <f t="shared" si="18"/>
        <v>4.99</v>
      </c>
      <c r="J187" s="13">
        <f t="shared" si="19"/>
        <v>3.7870535714285709</v>
      </c>
      <c r="K187" s="15">
        <v>0.5</v>
      </c>
      <c r="L187" s="16">
        <v>0.01</v>
      </c>
      <c r="M187" s="17"/>
    </row>
    <row r="188" spans="1:13" ht="15" customHeight="1" x14ac:dyDescent="0.75">
      <c r="A188" s="9">
        <v>174</v>
      </c>
      <c r="B188" s="10" t="s">
        <v>266</v>
      </c>
      <c r="C188" s="10" t="s">
        <v>24</v>
      </c>
      <c r="D188" s="11">
        <v>9.99</v>
      </c>
      <c r="E188" s="11">
        <v>7</v>
      </c>
      <c r="F188" s="12">
        <f t="shared" si="16"/>
        <v>0</v>
      </c>
      <c r="G188" s="11">
        <v>2.4900000000000002</v>
      </c>
      <c r="H188" s="13">
        <f t="shared" si="17"/>
        <v>2.9294117647058826</v>
      </c>
      <c r="I188" s="14">
        <f t="shared" si="18"/>
        <v>2.99</v>
      </c>
      <c r="J188" s="13">
        <f t="shared" si="19"/>
        <v>2.5415000000000001</v>
      </c>
      <c r="K188" s="15">
        <v>0.5</v>
      </c>
      <c r="L188" s="16">
        <v>0.01</v>
      </c>
      <c r="M188" s="17"/>
    </row>
    <row r="189" spans="1:13" ht="15" customHeight="1" x14ac:dyDescent="0.75">
      <c r="A189" s="9">
        <v>175</v>
      </c>
      <c r="B189" s="10" t="s">
        <v>267</v>
      </c>
      <c r="C189" s="10" t="s">
        <v>268</v>
      </c>
      <c r="D189" s="132">
        <v>299000</v>
      </c>
      <c r="E189" s="132">
        <v>188370</v>
      </c>
      <c r="F189" s="12">
        <f t="shared" si="16"/>
        <v>0.11</v>
      </c>
      <c r="G189" s="132">
        <v>125000</v>
      </c>
      <c r="H189" s="133">
        <f t="shared" si="17"/>
        <v>163235.29411764708</v>
      </c>
      <c r="I189" s="134">
        <f t="shared" si="18"/>
        <v>164000</v>
      </c>
      <c r="J189" s="133">
        <f t="shared" si="19"/>
        <v>125585.58558558556</v>
      </c>
      <c r="K189" s="15">
        <v>1000</v>
      </c>
      <c r="L189" s="16">
        <v>0</v>
      </c>
      <c r="M189" s="17"/>
    </row>
    <row r="191" spans="1:13" ht="15" customHeight="1" x14ac:dyDescent="0.75">
      <c r="A191" s="135" t="s">
        <v>269</v>
      </c>
    </row>
    <row r="192" spans="1:13" ht="15" customHeight="1" x14ac:dyDescent="0.75">
      <c r="A192" s="136" t="s">
        <v>270</v>
      </c>
    </row>
    <row r="193" spans="1:1" ht="15" customHeight="1" x14ac:dyDescent="0.75">
      <c r="A193" s="136" t="s">
        <v>271</v>
      </c>
    </row>
    <row r="194" spans="1:1" ht="15" customHeight="1" x14ac:dyDescent="0.75">
      <c r="A194" s="136" t="s">
        <v>272</v>
      </c>
    </row>
    <row r="195" spans="1:1" ht="15" customHeight="1" x14ac:dyDescent="0.75">
      <c r="A195" s="136" t="s">
        <v>273</v>
      </c>
    </row>
    <row r="196" spans="1:1" ht="15" customHeight="1" x14ac:dyDescent="0.75">
      <c r="A196" s="136" t="s">
        <v>274</v>
      </c>
    </row>
    <row r="197" spans="1:1" ht="15" customHeight="1" x14ac:dyDescent="0.75">
      <c r="A197" s="136" t="s">
        <v>275</v>
      </c>
    </row>
  </sheetData>
  <autoFilter ref="A9:M189" xr:uid="{00000000-0009-0000-0000-000000000000}"/>
  <mergeCells count="5">
    <mergeCell ref="A10:M10"/>
    <mergeCell ref="A13:M13"/>
    <mergeCell ref="A56:M56"/>
    <mergeCell ref="A114:M114"/>
    <mergeCell ref="A152:M15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1"/>
  <sheetViews>
    <sheetView zoomScaleNormal="100" workbookViewId="0">
      <pane xSplit="2" ySplit="8" topLeftCell="C174" activePane="bottomRight" state="frozen"/>
      <selection pane="topRight" activeCell="C1" sqref="C1"/>
      <selection pane="bottomLeft" activeCell="A9" sqref="A9"/>
      <selection pane="bottomRight" activeCell="E178" sqref="E178"/>
    </sheetView>
  </sheetViews>
  <sheetFormatPr defaultColWidth="8.6796875" defaultRowHeight="14.75" x14ac:dyDescent="0.75"/>
  <cols>
    <col min="1" max="1" width="6" style="1" customWidth="1"/>
    <col min="2" max="2" width="30" style="1" customWidth="1"/>
    <col min="3" max="3" width="26" style="1" customWidth="1"/>
    <col min="4" max="4" width="14" style="1" customWidth="1"/>
    <col min="5" max="5" width="10" style="1" customWidth="1"/>
    <col min="6" max="6" width="16" style="1" customWidth="1"/>
    <col min="7" max="8" width="14" style="1" customWidth="1"/>
    <col min="9" max="9" width="16" style="1" customWidth="1"/>
    <col min="10" max="11" width="10" style="1" customWidth="1"/>
    <col min="12" max="12" width="36" style="1" customWidth="1"/>
  </cols>
  <sheetData>
    <row r="1" spans="1:12" ht="17.25" customHeight="1" x14ac:dyDescent="0.8">
      <c r="A1" s="2" t="s">
        <v>276</v>
      </c>
    </row>
    <row r="2" spans="1:12" ht="15" customHeight="1" x14ac:dyDescent="0.75">
      <c r="A2" s="3" t="s">
        <v>277</v>
      </c>
    </row>
    <row r="4" spans="1:12" ht="15" customHeight="1" x14ac:dyDescent="0.75">
      <c r="A4" s="4" t="s">
        <v>278</v>
      </c>
      <c r="D4" s="5">
        <v>0.15</v>
      </c>
      <c r="E4" s="6" t="s">
        <v>279</v>
      </c>
    </row>
    <row r="5" spans="1:12" ht="15" customHeight="1" x14ac:dyDescent="0.75">
      <c r="A5" s="4" t="s">
        <v>6</v>
      </c>
      <c r="D5" s="7">
        <v>9.99</v>
      </c>
      <c r="E5" s="6" t="s">
        <v>280</v>
      </c>
    </row>
    <row r="6" spans="1:12" ht="15" customHeight="1" x14ac:dyDescent="0.75">
      <c r="E6" s="6" t="s">
        <v>281</v>
      </c>
    </row>
    <row r="8" spans="1:12" ht="42" customHeight="1" x14ac:dyDescent="0.75">
      <c r="A8" s="137" t="s">
        <v>9</v>
      </c>
      <c r="B8" s="137" t="s">
        <v>10</v>
      </c>
      <c r="C8" s="137" t="s">
        <v>11</v>
      </c>
      <c r="D8" s="137" t="s">
        <v>282</v>
      </c>
      <c r="E8" s="137" t="s">
        <v>283</v>
      </c>
      <c r="F8" s="137" t="s">
        <v>15</v>
      </c>
      <c r="G8" s="137" t="s">
        <v>16</v>
      </c>
      <c r="H8" s="137" t="s">
        <v>17</v>
      </c>
      <c r="I8" s="137" t="s">
        <v>18</v>
      </c>
      <c r="J8" s="137" t="s">
        <v>19</v>
      </c>
      <c r="K8" s="137" t="s">
        <v>20</v>
      </c>
      <c r="L8" s="137" t="s">
        <v>21</v>
      </c>
    </row>
    <row r="9" spans="1:12" ht="15" customHeight="1" x14ac:dyDescent="0.75">
      <c r="A9" s="9">
        <v>1</v>
      </c>
      <c r="B9" s="10" t="s">
        <v>28</v>
      </c>
      <c r="C9" s="10" t="s">
        <v>24</v>
      </c>
      <c r="D9" s="11">
        <v>14.39</v>
      </c>
      <c r="E9" s="138">
        <v>0.2</v>
      </c>
      <c r="F9" s="11">
        <v>6.49</v>
      </c>
      <c r="G9" s="13">
        <f t="shared" ref="G9:G40" si="0">F9/(1-$D$4)*(1+E9)</f>
        <v>9.1623529411764704</v>
      </c>
      <c r="H9" s="14">
        <f t="shared" ref="H9:H40" si="1">CEILING(G9+K9,J9)-K9</f>
        <v>9.49</v>
      </c>
      <c r="I9" s="13">
        <f t="shared" ref="I9:I40" si="2">H9/(1+E9)*(1-$D$4)</f>
        <v>6.7220833333333339</v>
      </c>
      <c r="J9" s="139">
        <v>0.5</v>
      </c>
      <c r="K9" s="139">
        <v>0.01</v>
      </c>
      <c r="L9" s="17"/>
    </row>
    <row r="10" spans="1:12" ht="15" customHeight="1" x14ac:dyDescent="0.75">
      <c r="A10" s="9">
        <v>2</v>
      </c>
      <c r="B10" s="10" t="s">
        <v>89</v>
      </c>
      <c r="C10" s="10" t="s">
        <v>284</v>
      </c>
      <c r="D10" s="140">
        <v>1600</v>
      </c>
      <c r="E10" s="138">
        <v>0</v>
      </c>
      <c r="F10" s="140">
        <v>650</v>
      </c>
      <c r="G10" s="141">
        <f t="shared" si="0"/>
        <v>764.70588235294122</v>
      </c>
      <c r="H10" s="142">
        <f t="shared" si="1"/>
        <v>770</v>
      </c>
      <c r="I10" s="141">
        <f t="shared" si="2"/>
        <v>654.5</v>
      </c>
      <c r="J10" s="139">
        <v>10</v>
      </c>
      <c r="K10" s="139">
        <v>0</v>
      </c>
      <c r="L10" s="17"/>
    </row>
    <row r="11" spans="1:12" ht="15" customHeight="1" x14ac:dyDescent="0.75">
      <c r="A11" s="9">
        <v>3</v>
      </c>
      <c r="B11" s="10" t="s">
        <v>91</v>
      </c>
      <c r="C11" s="10" t="s">
        <v>24</v>
      </c>
      <c r="D11" s="11">
        <v>11.99</v>
      </c>
      <c r="E11" s="138">
        <v>0</v>
      </c>
      <c r="F11" s="11">
        <v>3.49</v>
      </c>
      <c r="G11" s="13">
        <f t="shared" si="0"/>
        <v>4.105882352941177</v>
      </c>
      <c r="H11" s="14">
        <f t="shared" si="1"/>
        <v>4.49</v>
      </c>
      <c r="I11" s="13">
        <f t="shared" si="2"/>
        <v>3.8165</v>
      </c>
      <c r="J11" s="139">
        <v>0.5</v>
      </c>
      <c r="K11" s="139">
        <v>0.01</v>
      </c>
      <c r="L11" s="17"/>
    </row>
    <row r="12" spans="1:12" ht="15" customHeight="1" x14ac:dyDescent="0.75">
      <c r="A12" s="9">
        <v>4</v>
      </c>
      <c r="B12" s="10" t="s">
        <v>285</v>
      </c>
      <c r="C12" s="10" t="s">
        <v>24</v>
      </c>
      <c r="D12" s="11">
        <v>11.99</v>
      </c>
      <c r="E12" s="138">
        <v>0</v>
      </c>
      <c r="F12" s="11">
        <v>6.49</v>
      </c>
      <c r="G12" s="13">
        <f t="shared" si="0"/>
        <v>7.6352941176470592</v>
      </c>
      <c r="H12" s="14">
        <f t="shared" si="1"/>
        <v>7.99</v>
      </c>
      <c r="I12" s="13">
        <f t="shared" si="2"/>
        <v>6.7915000000000001</v>
      </c>
      <c r="J12" s="139">
        <v>0.5</v>
      </c>
      <c r="K12" s="139">
        <v>0.01</v>
      </c>
      <c r="L12" s="17"/>
    </row>
    <row r="13" spans="1:12" ht="15" customHeight="1" x14ac:dyDescent="0.75">
      <c r="A13" s="9">
        <v>5</v>
      </c>
      <c r="B13" s="10" t="s">
        <v>168</v>
      </c>
      <c r="C13" s="10" t="s">
        <v>24</v>
      </c>
      <c r="D13" s="11">
        <v>11.99</v>
      </c>
      <c r="E13" s="138">
        <v>0</v>
      </c>
      <c r="F13" s="11">
        <v>6.49</v>
      </c>
      <c r="G13" s="13">
        <f t="shared" si="0"/>
        <v>7.6352941176470592</v>
      </c>
      <c r="H13" s="14">
        <f t="shared" si="1"/>
        <v>7.99</v>
      </c>
      <c r="I13" s="13">
        <f t="shared" si="2"/>
        <v>6.7915000000000001</v>
      </c>
      <c r="J13" s="139">
        <v>0.5</v>
      </c>
      <c r="K13" s="139">
        <v>0.01</v>
      </c>
      <c r="L13" s="17"/>
    </row>
    <row r="14" spans="1:12" ht="15" customHeight="1" x14ac:dyDescent="0.75">
      <c r="A14" s="9">
        <v>6</v>
      </c>
      <c r="B14" s="10" t="s">
        <v>92</v>
      </c>
      <c r="C14" s="10" t="s">
        <v>24</v>
      </c>
      <c r="D14" s="11">
        <v>11.99</v>
      </c>
      <c r="E14" s="138">
        <v>0</v>
      </c>
      <c r="F14" s="11">
        <v>6.49</v>
      </c>
      <c r="G14" s="13">
        <f t="shared" si="0"/>
        <v>7.6352941176470592</v>
      </c>
      <c r="H14" s="14">
        <f t="shared" si="1"/>
        <v>7.99</v>
      </c>
      <c r="I14" s="13">
        <f t="shared" si="2"/>
        <v>6.7915000000000001</v>
      </c>
      <c r="J14" s="139">
        <v>0.5</v>
      </c>
      <c r="K14" s="139">
        <v>0.01</v>
      </c>
      <c r="L14" s="17"/>
    </row>
    <row r="15" spans="1:12" ht="15" customHeight="1" x14ac:dyDescent="0.75">
      <c r="A15" s="9">
        <v>7</v>
      </c>
      <c r="B15" s="10" t="s">
        <v>286</v>
      </c>
      <c r="C15" s="10" t="s">
        <v>24</v>
      </c>
      <c r="D15" s="11">
        <v>11.99</v>
      </c>
      <c r="E15" s="138">
        <v>0</v>
      </c>
      <c r="F15" s="11">
        <v>8.49</v>
      </c>
      <c r="G15" s="13">
        <f t="shared" si="0"/>
        <v>9.9882352941176471</v>
      </c>
      <c r="H15" s="14">
        <f t="shared" si="1"/>
        <v>9.99</v>
      </c>
      <c r="I15" s="13">
        <f t="shared" si="2"/>
        <v>8.4915000000000003</v>
      </c>
      <c r="J15" s="139">
        <v>0.5</v>
      </c>
      <c r="K15" s="139">
        <v>0.01</v>
      </c>
      <c r="L15" s="17" t="s">
        <v>287</v>
      </c>
    </row>
    <row r="16" spans="1:12" ht="15" customHeight="1" x14ac:dyDescent="0.75">
      <c r="A16" s="9">
        <v>8</v>
      </c>
      <c r="B16" s="10" t="s">
        <v>212</v>
      </c>
      <c r="C16" s="10" t="s">
        <v>213</v>
      </c>
      <c r="D16" s="93">
        <v>18.989999999999998</v>
      </c>
      <c r="E16" s="138">
        <v>0.1</v>
      </c>
      <c r="F16" s="93">
        <v>13.99</v>
      </c>
      <c r="G16" s="94">
        <f t="shared" si="0"/>
        <v>18.104705882352945</v>
      </c>
      <c r="H16" s="95">
        <f t="shared" si="1"/>
        <v>18.489999999999998</v>
      </c>
      <c r="I16" s="94">
        <f t="shared" si="2"/>
        <v>14.287727272727269</v>
      </c>
      <c r="J16" s="139">
        <v>0.5</v>
      </c>
      <c r="K16" s="139">
        <v>0.01</v>
      </c>
      <c r="L16" s="17"/>
    </row>
    <row r="17" spans="1:12" ht="15" customHeight="1" x14ac:dyDescent="0.75">
      <c r="A17" s="9">
        <v>9</v>
      </c>
      <c r="B17" s="10" t="s">
        <v>29</v>
      </c>
      <c r="C17" s="10" t="s">
        <v>30</v>
      </c>
      <c r="D17" s="21">
        <v>12.99</v>
      </c>
      <c r="E17" s="138">
        <v>0.2</v>
      </c>
      <c r="F17" s="21">
        <v>8.99</v>
      </c>
      <c r="G17" s="22">
        <f t="shared" si="0"/>
        <v>12.691764705882353</v>
      </c>
      <c r="H17" s="23">
        <f t="shared" si="1"/>
        <v>12.99</v>
      </c>
      <c r="I17" s="22">
        <f t="shared" si="2"/>
        <v>9.2012499999999999</v>
      </c>
      <c r="J17" s="139">
        <v>0.5</v>
      </c>
      <c r="K17" s="139">
        <v>0.01</v>
      </c>
      <c r="L17" s="17"/>
    </row>
    <row r="18" spans="1:12" ht="15" customHeight="1" x14ac:dyDescent="0.75">
      <c r="A18" s="9">
        <v>10</v>
      </c>
      <c r="B18" s="10" t="s">
        <v>93</v>
      </c>
      <c r="C18" s="10" t="s">
        <v>24</v>
      </c>
      <c r="D18" s="11">
        <v>11.99</v>
      </c>
      <c r="E18" s="138">
        <v>0</v>
      </c>
      <c r="F18" s="11">
        <v>6.49</v>
      </c>
      <c r="G18" s="13">
        <f t="shared" si="0"/>
        <v>7.6352941176470592</v>
      </c>
      <c r="H18" s="14">
        <f t="shared" si="1"/>
        <v>7.99</v>
      </c>
      <c r="I18" s="13">
        <f t="shared" si="2"/>
        <v>6.7915000000000001</v>
      </c>
      <c r="J18" s="139">
        <v>0.5</v>
      </c>
      <c r="K18" s="139">
        <v>0.01</v>
      </c>
      <c r="L18" s="17"/>
    </row>
    <row r="19" spans="1:12" ht="15" customHeight="1" x14ac:dyDescent="0.75">
      <c r="A19" s="9">
        <v>11</v>
      </c>
      <c r="B19" s="10" t="s">
        <v>169</v>
      </c>
      <c r="C19" s="10" t="s">
        <v>24</v>
      </c>
      <c r="D19" s="11">
        <v>11.99</v>
      </c>
      <c r="E19" s="138">
        <v>0</v>
      </c>
      <c r="F19" s="11">
        <v>8.49</v>
      </c>
      <c r="G19" s="13">
        <f t="shared" si="0"/>
        <v>9.9882352941176471</v>
      </c>
      <c r="H19" s="14">
        <f t="shared" si="1"/>
        <v>9.99</v>
      </c>
      <c r="I19" s="13">
        <f t="shared" si="2"/>
        <v>8.4915000000000003</v>
      </c>
      <c r="J19" s="139">
        <v>0.5</v>
      </c>
      <c r="K19" s="139">
        <v>0.01</v>
      </c>
      <c r="L19" s="17"/>
    </row>
    <row r="20" spans="1:12" ht="15" customHeight="1" x14ac:dyDescent="0.75">
      <c r="A20" s="9">
        <v>12</v>
      </c>
      <c r="B20" s="10" t="s">
        <v>94</v>
      </c>
      <c r="C20" s="10" t="s">
        <v>24</v>
      </c>
      <c r="D20" s="11">
        <v>12.99</v>
      </c>
      <c r="E20" s="138">
        <v>0.1</v>
      </c>
      <c r="F20" s="11">
        <v>8.49</v>
      </c>
      <c r="G20" s="13">
        <f t="shared" si="0"/>
        <v>10.987058823529413</v>
      </c>
      <c r="H20" s="14">
        <f t="shared" si="1"/>
        <v>10.99</v>
      </c>
      <c r="I20" s="13">
        <f t="shared" si="2"/>
        <v>8.4922727272727272</v>
      </c>
      <c r="J20" s="139">
        <v>0.5</v>
      </c>
      <c r="K20" s="139">
        <v>0.01</v>
      </c>
      <c r="L20" s="17"/>
    </row>
    <row r="21" spans="1:12" ht="15" customHeight="1" x14ac:dyDescent="0.75">
      <c r="A21" s="9">
        <v>13</v>
      </c>
      <c r="B21" s="10" t="s">
        <v>288</v>
      </c>
      <c r="C21" s="10" t="s">
        <v>289</v>
      </c>
      <c r="D21" s="143">
        <v>1700</v>
      </c>
      <c r="E21" s="138">
        <v>0.15</v>
      </c>
      <c r="F21" s="143">
        <v>440</v>
      </c>
      <c r="G21" s="144">
        <f t="shared" si="0"/>
        <v>595.29411764705878</v>
      </c>
      <c r="H21" s="145">
        <f t="shared" si="1"/>
        <v>600</v>
      </c>
      <c r="I21" s="144">
        <f t="shared" si="2"/>
        <v>443.47826086956519</v>
      </c>
      <c r="J21" s="139">
        <v>10</v>
      </c>
      <c r="K21" s="139">
        <v>0</v>
      </c>
      <c r="L21" s="17" t="s">
        <v>287</v>
      </c>
    </row>
    <row r="22" spans="1:12" ht="15" customHeight="1" x14ac:dyDescent="0.75">
      <c r="A22" s="9">
        <v>14</v>
      </c>
      <c r="B22" s="10" t="s">
        <v>31</v>
      </c>
      <c r="C22" s="10" t="s">
        <v>24</v>
      </c>
      <c r="D22" s="11">
        <v>14.39</v>
      </c>
      <c r="E22" s="138">
        <v>0.2</v>
      </c>
      <c r="F22" s="11">
        <v>6.49</v>
      </c>
      <c r="G22" s="13">
        <f t="shared" si="0"/>
        <v>9.1623529411764704</v>
      </c>
      <c r="H22" s="14">
        <f t="shared" si="1"/>
        <v>9.49</v>
      </c>
      <c r="I22" s="13">
        <f t="shared" si="2"/>
        <v>6.7220833333333339</v>
      </c>
      <c r="J22" s="139">
        <v>0.5</v>
      </c>
      <c r="K22" s="139">
        <v>0.01</v>
      </c>
      <c r="L22" s="17"/>
    </row>
    <row r="23" spans="1:12" ht="15" customHeight="1" x14ac:dyDescent="0.75">
      <c r="A23" s="9">
        <v>15</v>
      </c>
      <c r="B23" s="10" t="s">
        <v>32</v>
      </c>
      <c r="C23" s="10" t="s">
        <v>30</v>
      </c>
      <c r="D23" s="21">
        <v>12.99</v>
      </c>
      <c r="E23" s="138">
        <v>0.21</v>
      </c>
      <c r="F23" s="21">
        <v>8.99</v>
      </c>
      <c r="G23" s="22">
        <f t="shared" si="0"/>
        <v>12.797529411764705</v>
      </c>
      <c r="H23" s="23">
        <f t="shared" si="1"/>
        <v>12.99</v>
      </c>
      <c r="I23" s="22">
        <f t="shared" si="2"/>
        <v>9.125206611570249</v>
      </c>
      <c r="J23" s="139">
        <v>0.5</v>
      </c>
      <c r="K23" s="139">
        <v>0.01</v>
      </c>
      <c r="L23" s="17"/>
    </row>
    <row r="24" spans="1:12" ht="15" customHeight="1" x14ac:dyDescent="0.75">
      <c r="A24" s="9">
        <v>16</v>
      </c>
      <c r="B24" s="10" t="s">
        <v>171</v>
      </c>
      <c r="C24" s="10" t="s">
        <v>24</v>
      </c>
      <c r="D24" s="11">
        <v>11.99</v>
      </c>
      <c r="E24" s="138">
        <v>0</v>
      </c>
      <c r="F24" s="11">
        <v>4.99</v>
      </c>
      <c r="G24" s="13">
        <f t="shared" si="0"/>
        <v>5.8705882352941181</v>
      </c>
      <c r="H24" s="14">
        <f t="shared" si="1"/>
        <v>5.99</v>
      </c>
      <c r="I24" s="13">
        <f t="shared" si="2"/>
        <v>5.0914999999999999</v>
      </c>
      <c r="J24" s="139">
        <v>0.5</v>
      </c>
      <c r="K24" s="139">
        <v>0.01</v>
      </c>
      <c r="L24" s="17"/>
    </row>
    <row r="25" spans="1:12" ht="15" customHeight="1" x14ac:dyDescent="0.75">
      <c r="A25" s="9">
        <v>17</v>
      </c>
      <c r="B25" s="10" t="s">
        <v>95</v>
      </c>
      <c r="C25" s="10" t="s">
        <v>30</v>
      </c>
      <c r="D25" s="21">
        <v>10.53</v>
      </c>
      <c r="E25" s="138">
        <v>0</v>
      </c>
      <c r="F25" s="21">
        <v>2.4900000000000002</v>
      </c>
      <c r="G25" s="22">
        <f t="shared" si="0"/>
        <v>2.9294117647058826</v>
      </c>
      <c r="H25" s="23">
        <f t="shared" si="1"/>
        <v>2.99</v>
      </c>
      <c r="I25" s="22">
        <f t="shared" si="2"/>
        <v>2.5415000000000001</v>
      </c>
      <c r="J25" s="139">
        <v>0.5</v>
      </c>
      <c r="K25" s="139">
        <v>0.01</v>
      </c>
      <c r="L25" s="17"/>
    </row>
    <row r="26" spans="1:12" ht="15" customHeight="1" x14ac:dyDescent="0.75">
      <c r="A26" s="9">
        <v>18</v>
      </c>
      <c r="B26" s="10" t="s">
        <v>172</v>
      </c>
      <c r="C26" s="10" t="s">
        <v>24</v>
      </c>
      <c r="D26" s="11">
        <v>11.99</v>
      </c>
      <c r="E26" s="138">
        <v>0</v>
      </c>
      <c r="F26" s="11">
        <v>11.49</v>
      </c>
      <c r="G26" s="13">
        <f t="shared" si="0"/>
        <v>13.517647058823529</v>
      </c>
      <c r="H26" s="14">
        <f t="shared" si="1"/>
        <v>13.99</v>
      </c>
      <c r="I26" s="13">
        <f t="shared" si="2"/>
        <v>11.891500000000001</v>
      </c>
      <c r="J26" s="139">
        <v>0.5</v>
      </c>
      <c r="K26" s="139">
        <v>0.01</v>
      </c>
      <c r="L26" s="17"/>
    </row>
    <row r="27" spans="1:12" ht="15" customHeight="1" x14ac:dyDescent="0.75">
      <c r="A27" s="9">
        <v>19</v>
      </c>
      <c r="B27" s="10" t="s">
        <v>173</v>
      </c>
      <c r="C27" s="10" t="s">
        <v>290</v>
      </c>
      <c r="D27" s="146">
        <v>144.99</v>
      </c>
      <c r="E27" s="138">
        <v>0</v>
      </c>
      <c r="F27" s="146">
        <v>42.49</v>
      </c>
      <c r="G27" s="147">
        <f t="shared" si="0"/>
        <v>49.988235294117651</v>
      </c>
      <c r="H27" s="148">
        <f t="shared" si="1"/>
        <v>49.99</v>
      </c>
      <c r="I27" s="147">
        <f t="shared" si="2"/>
        <v>42.491500000000002</v>
      </c>
      <c r="J27" s="139">
        <v>1</v>
      </c>
      <c r="K27" s="139">
        <v>0.01</v>
      </c>
      <c r="L27" s="17"/>
    </row>
    <row r="28" spans="1:12" ht="15" customHeight="1" x14ac:dyDescent="0.75">
      <c r="A28" s="9">
        <v>20</v>
      </c>
      <c r="B28" s="10" t="s">
        <v>291</v>
      </c>
      <c r="C28" s="10" t="s">
        <v>24</v>
      </c>
      <c r="D28" s="11">
        <v>11.99</v>
      </c>
      <c r="E28" s="138">
        <v>0</v>
      </c>
      <c r="F28" s="11">
        <v>6.49</v>
      </c>
      <c r="G28" s="13">
        <f t="shared" si="0"/>
        <v>7.6352941176470592</v>
      </c>
      <c r="H28" s="14">
        <f t="shared" si="1"/>
        <v>7.99</v>
      </c>
      <c r="I28" s="13">
        <f t="shared" si="2"/>
        <v>6.7915000000000001</v>
      </c>
      <c r="J28" s="139">
        <v>0.5</v>
      </c>
      <c r="K28" s="139">
        <v>0.01</v>
      </c>
      <c r="L28" s="17"/>
    </row>
    <row r="29" spans="1:12" ht="15" customHeight="1" x14ac:dyDescent="0.75">
      <c r="A29" s="9">
        <v>21</v>
      </c>
      <c r="B29" s="10" t="s">
        <v>97</v>
      </c>
      <c r="C29" s="10" t="s">
        <v>24</v>
      </c>
      <c r="D29" s="11">
        <v>11.99</v>
      </c>
      <c r="E29" s="138">
        <v>0</v>
      </c>
      <c r="F29" s="11">
        <v>4.99</v>
      </c>
      <c r="G29" s="13">
        <f t="shared" si="0"/>
        <v>5.8705882352941181</v>
      </c>
      <c r="H29" s="14">
        <f t="shared" si="1"/>
        <v>5.99</v>
      </c>
      <c r="I29" s="13">
        <f t="shared" si="2"/>
        <v>5.0914999999999999</v>
      </c>
      <c r="J29" s="139">
        <v>0.5</v>
      </c>
      <c r="K29" s="139">
        <v>0.01</v>
      </c>
      <c r="L29" s="17"/>
    </row>
    <row r="30" spans="1:12" ht="15" customHeight="1" x14ac:dyDescent="0.75">
      <c r="A30" s="9">
        <v>22</v>
      </c>
      <c r="B30" s="10" t="s">
        <v>175</v>
      </c>
      <c r="C30" s="10" t="s">
        <v>176</v>
      </c>
      <c r="D30" s="78">
        <v>61.99</v>
      </c>
      <c r="E30" s="138">
        <v>0</v>
      </c>
      <c r="F30" s="78">
        <v>24.9</v>
      </c>
      <c r="G30" s="79">
        <f t="shared" si="0"/>
        <v>29.294117647058822</v>
      </c>
      <c r="H30" s="80">
        <f t="shared" si="1"/>
        <v>29.99</v>
      </c>
      <c r="I30" s="79">
        <f t="shared" si="2"/>
        <v>25.491499999999998</v>
      </c>
      <c r="J30" s="139">
        <v>1</v>
      </c>
      <c r="K30" s="139">
        <v>0.01</v>
      </c>
      <c r="L30" s="17"/>
    </row>
    <row r="31" spans="1:12" ht="15" customHeight="1" x14ac:dyDescent="0.75">
      <c r="A31" s="9">
        <v>23</v>
      </c>
      <c r="B31" s="10" t="s">
        <v>177</v>
      </c>
      <c r="C31" s="10" t="s">
        <v>24</v>
      </c>
      <c r="D31" s="11">
        <v>11.99</v>
      </c>
      <c r="E31" s="138">
        <v>0</v>
      </c>
      <c r="F31" s="11">
        <v>6.49</v>
      </c>
      <c r="G31" s="13">
        <f t="shared" si="0"/>
        <v>7.6352941176470592</v>
      </c>
      <c r="H31" s="14">
        <f t="shared" si="1"/>
        <v>7.99</v>
      </c>
      <c r="I31" s="13">
        <f t="shared" si="2"/>
        <v>6.7915000000000001</v>
      </c>
      <c r="J31" s="139">
        <v>0.5</v>
      </c>
      <c r="K31" s="139">
        <v>0.01</v>
      </c>
      <c r="L31" s="17"/>
    </row>
    <row r="32" spans="1:12" ht="15" customHeight="1" x14ac:dyDescent="0.75">
      <c r="A32" s="9">
        <v>24</v>
      </c>
      <c r="B32" s="10" t="s">
        <v>35</v>
      </c>
      <c r="C32" s="10" t="s">
        <v>30</v>
      </c>
      <c r="D32" s="21">
        <v>12.99</v>
      </c>
      <c r="E32" s="138">
        <v>0.2</v>
      </c>
      <c r="F32" s="21">
        <v>5.49</v>
      </c>
      <c r="G32" s="22">
        <f t="shared" si="0"/>
        <v>7.7505882352941171</v>
      </c>
      <c r="H32" s="23">
        <f t="shared" si="1"/>
        <v>7.99</v>
      </c>
      <c r="I32" s="22">
        <f t="shared" si="2"/>
        <v>5.6595833333333339</v>
      </c>
      <c r="J32" s="139">
        <v>0.5</v>
      </c>
      <c r="K32" s="139">
        <v>0.01</v>
      </c>
      <c r="L32" s="17"/>
    </row>
    <row r="33" spans="1:12" ht="15" customHeight="1" x14ac:dyDescent="0.75">
      <c r="A33" s="9">
        <v>25</v>
      </c>
      <c r="B33" s="10" t="s">
        <v>98</v>
      </c>
      <c r="C33" s="10" t="s">
        <v>30</v>
      </c>
      <c r="D33" s="21">
        <v>10.53</v>
      </c>
      <c r="E33" s="138">
        <v>0</v>
      </c>
      <c r="F33" s="21">
        <v>1.49</v>
      </c>
      <c r="G33" s="22">
        <f t="shared" si="0"/>
        <v>1.7529411764705882</v>
      </c>
      <c r="H33" s="23">
        <f t="shared" si="1"/>
        <v>1.99</v>
      </c>
      <c r="I33" s="22">
        <f t="shared" si="2"/>
        <v>1.6915</v>
      </c>
      <c r="J33" s="139">
        <v>0.5</v>
      </c>
      <c r="K33" s="139">
        <v>0.01</v>
      </c>
      <c r="L33" s="17"/>
    </row>
    <row r="34" spans="1:12" ht="15" customHeight="1" x14ac:dyDescent="0.75">
      <c r="A34" s="9">
        <v>26</v>
      </c>
      <c r="B34" s="10" t="s">
        <v>216</v>
      </c>
      <c r="C34" s="10" t="s">
        <v>24</v>
      </c>
      <c r="D34" s="11">
        <v>11.99</v>
      </c>
      <c r="E34" s="138">
        <v>0</v>
      </c>
      <c r="F34" s="11">
        <v>3.49</v>
      </c>
      <c r="G34" s="13">
        <f t="shared" si="0"/>
        <v>4.105882352941177</v>
      </c>
      <c r="H34" s="14">
        <f t="shared" si="1"/>
        <v>4.49</v>
      </c>
      <c r="I34" s="13">
        <f t="shared" si="2"/>
        <v>3.8165</v>
      </c>
      <c r="J34" s="139">
        <v>0.5</v>
      </c>
      <c r="K34" s="139">
        <v>0.01</v>
      </c>
      <c r="L34" s="17"/>
    </row>
    <row r="35" spans="1:12" ht="15" customHeight="1" x14ac:dyDescent="0.75">
      <c r="A35" s="9">
        <v>27</v>
      </c>
      <c r="B35" s="10" t="s">
        <v>100</v>
      </c>
      <c r="C35" s="10" t="s">
        <v>292</v>
      </c>
      <c r="D35" s="149">
        <v>8200</v>
      </c>
      <c r="E35" s="138">
        <v>0.1925</v>
      </c>
      <c r="F35" s="149">
        <v>1500</v>
      </c>
      <c r="G35" s="150">
        <f t="shared" si="0"/>
        <v>2104.4117647058824</v>
      </c>
      <c r="H35" s="151">
        <f t="shared" si="1"/>
        <v>2200</v>
      </c>
      <c r="I35" s="150">
        <f t="shared" si="2"/>
        <v>1568.1341719077568</v>
      </c>
      <c r="J35" s="139">
        <v>100</v>
      </c>
      <c r="K35" s="139">
        <v>0</v>
      </c>
      <c r="L35" s="17"/>
    </row>
    <row r="36" spans="1:12" ht="15" customHeight="1" x14ac:dyDescent="0.75">
      <c r="A36" s="9">
        <v>28</v>
      </c>
      <c r="B36" s="10" t="s">
        <v>25</v>
      </c>
      <c r="C36" s="10" t="s">
        <v>26</v>
      </c>
      <c r="D36" s="18">
        <v>16.989999999999998</v>
      </c>
      <c r="E36" s="138">
        <v>0</v>
      </c>
      <c r="F36" s="18">
        <v>13.99</v>
      </c>
      <c r="G36" s="19">
        <f t="shared" si="0"/>
        <v>16.458823529411767</v>
      </c>
      <c r="H36" s="20">
        <f t="shared" si="1"/>
        <v>16.489999999999998</v>
      </c>
      <c r="I36" s="19">
        <f t="shared" si="2"/>
        <v>14.016499999999999</v>
      </c>
      <c r="J36" s="139">
        <v>0.5</v>
      </c>
      <c r="K36" s="139">
        <v>0.01</v>
      </c>
      <c r="L36" s="17"/>
    </row>
    <row r="37" spans="1:12" ht="15" customHeight="1" x14ac:dyDescent="0.75">
      <c r="A37" s="9">
        <v>29</v>
      </c>
      <c r="B37" s="10" t="s">
        <v>102</v>
      </c>
      <c r="C37" s="10" t="s">
        <v>24</v>
      </c>
      <c r="D37" s="11">
        <v>11.99</v>
      </c>
      <c r="E37" s="138">
        <v>0</v>
      </c>
      <c r="F37" s="11">
        <v>3.49</v>
      </c>
      <c r="G37" s="13">
        <f t="shared" si="0"/>
        <v>4.105882352941177</v>
      </c>
      <c r="H37" s="14">
        <f t="shared" si="1"/>
        <v>4.49</v>
      </c>
      <c r="I37" s="13">
        <f t="shared" si="2"/>
        <v>3.8165</v>
      </c>
      <c r="J37" s="139">
        <v>0.5</v>
      </c>
      <c r="K37" s="139">
        <v>0.01</v>
      </c>
      <c r="L37" s="17"/>
    </row>
    <row r="38" spans="1:12" ht="15" customHeight="1" x14ac:dyDescent="0.75">
      <c r="A38" s="9">
        <v>30</v>
      </c>
      <c r="B38" s="10" t="s">
        <v>178</v>
      </c>
      <c r="C38" s="10" t="s">
        <v>24</v>
      </c>
      <c r="D38" s="11">
        <v>11.99</v>
      </c>
      <c r="E38" s="138">
        <v>0</v>
      </c>
      <c r="F38" s="11">
        <v>8.49</v>
      </c>
      <c r="G38" s="13">
        <f t="shared" si="0"/>
        <v>9.9882352941176471</v>
      </c>
      <c r="H38" s="14">
        <f t="shared" si="1"/>
        <v>9.99</v>
      </c>
      <c r="I38" s="13">
        <f t="shared" si="2"/>
        <v>8.4915000000000003</v>
      </c>
      <c r="J38" s="139">
        <v>0.5</v>
      </c>
      <c r="K38" s="139">
        <v>0.01</v>
      </c>
      <c r="L38" s="17"/>
    </row>
    <row r="39" spans="1:12" ht="15" customHeight="1" x14ac:dyDescent="0.75">
      <c r="A39" s="9">
        <v>31</v>
      </c>
      <c r="B39" s="10" t="s">
        <v>293</v>
      </c>
      <c r="C39" s="10" t="s">
        <v>30</v>
      </c>
      <c r="D39" s="21">
        <v>10.53</v>
      </c>
      <c r="E39" s="138">
        <v>0</v>
      </c>
      <c r="F39" s="21">
        <v>1.49</v>
      </c>
      <c r="G39" s="22">
        <f t="shared" si="0"/>
        <v>1.7529411764705882</v>
      </c>
      <c r="H39" s="23">
        <f t="shared" si="1"/>
        <v>1.99</v>
      </c>
      <c r="I39" s="22">
        <f t="shared" si="2"/>
        <v>1.6915</v>
      </c>
      <c r="J39" s="139">
        <v>0.5</v>
      </c>
      <c r="K39" s="139">
        <v>0.01</v>
      </c>
      <c r="L39" s="17" t="s">
        <v>287</v>
      </c>
    </row>
    <row r="40" spans="1:12" ht="15" customHeight="1" x14ac:dyDescent="0.75">
      <c r="A40" s="9">
        <v>32</v>
      </c>
      <c r="B40" s="10" t="s">
        <v>103</v>
      </c>
      <c r="C40" s="10" t="s">
        <v>24</v>
      </c>
      <c r="D40" s="11">
        <v>11.99</v>
      </c>
      <c r="E40" s="138">
        <v>0</v>
      </c>
      <c r="F40" s="11">
        <v>1.49</v>
      </c>
      <c r="G40" s="13">
        <f t="shared" si="0"/>
        <v>1.7529411764705882</v>
      </c>
      <c r="H40" s="14">
        <f t="shared" si="1"/>
        <v>1.99</v>
      </c>
      <c r="I40" s="13">
        <f t="shared" si="2"/>
        <v>1.6915</v>
      </c>
      <c r="J40" s="139">
        <v>0.5</v>
      </c>
      <c r="K40" s="139">
        <v>0.01</v>
      </c>
      <c r="L40" s="17"/>
    </row>
    <row r="41" spans="1:12" ht="15" customHeight="1" x14ac:dyDescent="0.75">
      <c r="A41" s="9">
        <v>33</v>
      </c>
      <c r="B41" s="10" t="s">
        <v>179</v>
      </c>
      <c r="C41" s="10" t="s">
        <v>180</v>
      </c>
      <c r="D41" s="81">
        <v>13700</v>
      </c>
      <c r="E41" s="138">
        <v>0.19</v>
      </c>
      <c r="F41" s="81">
        <v>6200</v>
      </c>
      <c r="G41" s="82">
        <f t="shared" ref="G41:G72" si="3">F41/(1-$D$4)*(1+E41)</f>
        <v>8680</v>
      </c>
      <c r="H41" s="83">
        <f t="shared" ref="H41:H72" si="4">CEILING(G41+K41,J41)-K41</f>
        <v>8700</v>
      </c>
      <c r="I41" s="82">
        <f t="shared" ref="I41:I72" si="5">H41/(1+E41)*(1-$D$4)</f>
        <v>6214.2857142857147</v>
      </c>
      <c r="J41" s="139">
        <v>100</v>
      </c>
      <c r="K41" s="139">
        <v>0</v>
      </c>
      <c r="L41" s="17"/>
    </row>
    <row r="42" spans="1:12" ht="15" customHeight="1" x14ac:dyDescent="0.75">
      <c r="A42" s="9">
        <v>34</v>
      </c>
      <c r="B42" s="10" t="s">
        <v>181</v>
      </c>
      <c r="C42" s="10" t="s">
        <v>182</v>
      </c>
      <c r="D42" s="84">
        <v>39500</v>
      </c>
      <c r="E42" s="138">
        <v>0</v>
      </c>
      <c r="F42" s="84">
        <v>15500</v>
      </c>
      <c r="G42" s="85">
        <f t="shared" si="3"/>
        <v>18235.294117647059</v>
      </c>
      <c r="H42" s="86">
        <f t="shared" si="4"/>
        <v>18500</v>
      </c>
      <c r="I42" s="85">
        <f t="shared" si="5"/>
        <v>15725</v>
      </c>
      <c r="J42" s="139">
        <v>500</v>
      </c>
      <c r="K42" s="139">
        <v>0</v>
      </c>
      <c r="L42" s="17"/>
    </row>
    <row r="43" spans="1:12" ht="15" customHeight="1" x14ac:dyDescent="0.75">
      <c r="A43" s="9">
        <v>35</v>
      </c>
      <c r="B43" s="10" t="s">
        <v>294</v>
      </c>
      <c r="C43" s="10" t="s">
        <v>24</v>
      </c>
      <c r="D43" s="11">
        <v>11.99</v>
      </c>
      <c r="E43" s="138">
        <v>0</v>
      </c>
      <c r="F43" s="11">
        <v>2.4900000000000002</v>
      </c>
      <c r="G43" s="13">
        <f t="shared" si="3"/>
        <v>2.9294117647058826</v>
      </c>
      <c r="H43" s="14">
        <f t="shared" si="4"/>
        <v>2.99</v>
      </c>
      <c r="I43" s="13">
        <f t="shared" si="5"/>
        <v>2.5415000000000001</v>
      </c>
      <c r="J43" s="139">
        <v>0.5</v>
      </c>
      <c r="K43" s="139">
        <v>0.01</v>
      </c>
      <c r="L43" s="17" t="s">
        <v>287</v>
      </c>
    </row>
    <row r="44" spans="1:12" ht="15" customHeight="1" x14ac:dyDescent="0.75">
      <c r="A44" s="9">
        <v>36</v>
      </c>
      <c r="B44" s="10" t="s">
        <v>295</v>
      </c>
      <c r="C44" s="10" t="s">
        <v>24</v>
      </c>
      <c r="D44" s="11">
        <v>11.99</v>
      </c>
      <c r="E44" s="138">
        <v>0</v>
      </c>
      <c r="F44" s="11">
        <v>2.4900000000000002</v>
      </c>
      <c r="G44" s="13">
        <f t="shared" si="3"/>
        <v>2.9294117647058826</v>
      </c>
      <c r="H44" s="14">
        <f t="shared" si="4"/>
        <v>2.99</v>
      </c>
      <c r="I44" s="13">
        <f t="shared" si="5"/>
        <v>2.5415000000000001</v>
      </c>
      <c r="J44" s="139">
        <v>0.5</v>
      </c>
      <c r="K44" s="139">
        <v>0.01</v>
      </c>
      <c r="L44" s="17"/>
    </row>
    <row r="45" spans="1:12" ht="15" customHeight="1" x14ac:dyDescent="0.75">
      <c r="A45" s="9">
        <v>37</v>
      </c>
      <c r="B45" s="10" t="s">
        <v>296</v>
      </c>
      <c r="C45" s="10" t="s">
        <v>24</v>
      </c>
      <c r="D45" s="11">
        <v>11.99</v>
      </c>
      <c r="E45" s="138">
        <v>0</v>
      </c>
      <c r="F45" s="11">
        <v>1.49</v>
      </c>
      <c r="G45" s="13">
        <f t="shared" si="3"/>
        <v>1.7529411764705882</v>
      </c>
      <c r="H45" s="14">
        <f t="shared" si="4"/>
        <v>1.99</v>
      </c>
      <c r="I45" s="13">
        <f t="shared" si="5"/>
        <v>1.6915</v>
      </c>
      <c r="J45" s="139">
        <v>0.5</v>
      </c>
      <c r="K45" s="139">
        <v>0.01</v>
      </c>
      <c r="L45" s="17"/>
    </row>
    <row r="46" spans="1:12" ht="15" customHeight="1" x14ac:dyDescent="0.75">
      <c r="A46" s="9">
        <v>38</v>
      </c>
      <c r="B46" s="10" t="s">
        <v>183</v>
      </c>
      <c r="C46" s="10" t="s">
        <v>297</v>
      </c>
      <c r="D46" s="152">
        <v>5400</v>
      </c>
      <c r="E46" s="138">
        <v>0</v>
      </c>
      <c r="F46" s="152">
        <v>2900</v>
      </c>
      <c r="G46" s="153">
        <f t="shared" si="3"/>
        <v>3411.7647058823532</v>
      </c>
      <c r="H46" s="154">
        <f t="shared" si="4"/>
        <v>3500</v>
      </c>
      <c r="I46" s="153">
        <f t="shared" si="5"/>
        <v>2975</v>
      </c>
      <c r="J46" s="139">
        <v>100</v>
      </c>
      <c r="K46" s="139">
        <v>0</v>
      </c>
      <c r="L46" s="17"/>
    </row>
    <row r="47" spans="1:12" ht="15" customHeight="1" x14ac:dyDescent="0.75">
      <c r="A47" s="9">
        <v>39</v>
      </c>
      <c r="B47" s="10" t="s">
        <v>36</v>
      </c>
      <c r="C47" s="10" t="s">
        <v>30</v>
      </c>
      <c r="D47" s="21">
        <v>12.99</v>
      </c>
      <c r="E47" s="138">
        <v>0.25</v>
      </c>
      <c r="F47" s="21">
        <v>5.49</v>
      </c>
      <c r="G47" s="22">
        <f t="shared" si="3"/>
        <v>8.0735294117647065</v>
      </c>
      <c r="H47" s="23">
        <f t="shared" si="4"/>
        <v>8.49</v>
      </c>
      <c r="I47" s="22">
        <f t="shared" si="5"/>
        <v>5.7732000000000001</v>
      </c>
      <c r="J47" s="139">
        <v>0.5</v>
      </c>
      <c r="K47" s="139">
        <v>0.01</v>
      </c>
      <c r="L47" s="17"/>
    </row>
    <row r="48" spans="1:12" ht="15" customHeight="1" x14ac:dyDescent="0.75">
      <c r="A48" s="9">
        <v>40</v>
      </c>
      <c r="B48" s="10" t="s">
        <v>37</v>
      </c>
      <c r="C48" s="10" t="s">
        <v>30</v>
      </c>
      <c r="D48" s="21">
        <v>12.99</v>
      </c>
      <c r="E48" s="138">
        <v>0.19</v>
      </c>
      <c r="F48" s="21">
        <v>7.49</v>
      </c>
      <c r="G48" s="22">
        <f t="shared" si="3"/>
        <v>10.486000000000001</v>
      </c>
      <c r="H48" s="23">
        <f t="shared" si="4"/>
        <v>10.49</v>
      </c>
      <c r="I48" s="22">
        <f t="shared" si="5"/>
        <v>7.4928571428571429</v>
      </c>
      <c r="J48" s="139">
        <v>0.5</v>
      </c>
      <c r="K48" s="139">
        <v>0.01</v>
      </c>
      <c r="L48" s="17"/>
    </row>
    <row r="49" spans="1:12" ht="15" customHeight="1" x14ac:dyDescent="0.75">
      <c r="A49" s="9">
        <v>41</v>
      </c>
      <c r="B49" s="10" t="s">
        <v>298</v>
      </c>
      <c r="C49" s="10" t="s">
        <v>39</v>
      </c>
      <c r="D49" s="24">
        <v>309.99</v>
      </c>
      <c r="E49" s="138">
        <v>0.21</v>
      </c>
      <c r="F49" s="24">
        <v>135</v>
      </c>
      <c r="G49" s="25">
        <f t="shared" si="3"/>
        <v>192.17647058823528</v>
      </c>
      <c r="H49" s="26">
        <f t="shared" si="4"/>
        <v>199.99</v>
      </c>
      <c r="I49" s="25">
        <f t="shared" si="5"/>
        <v>140.48884297520664</v>
      </c>
      <c r="J49" s="139">
        <v>10</v>
      </c>
      <c r="K49" s="139">
        <v>0.01</v>
      </c>
      <c r="L49" s="17"/>
    </row>
    <row r="50" spans="1:12" ht="15" customHeight="1" x14ac:dyDescent="0.75">
      <c r="A50" s="9">
        <v>42</v>
      </c>
      <c r="B50" s="10" t="s">
        <v>106</v>
      </c>
      <c r="C50" s="10" t="s">
        <v>299</v>
      </c>
      <c r="D50" s="155">
        <v>8100</v>
      </c>
      <c r="E50" s="138">
        <v>0.18</v>
      </c>
      <c r="F50" s="155">
        <v>1500</v>
      </c>
      <c r="G50" s="156">
        <f t="shared" si="3"/>
        <v>2082.3529411764707</v>
      </c>
      <c r="H50" s="157">
        <f t="shared" si="4"/>
        <v>2100</v>
      </c>
      <c r="I50" s="156">
        <f t="shared" si="5"/>
        <v>1512.7118644067796</v>
      </c>
      <c r="J50" s="139">
        <v>100</v>
      </c>
      <c r="K50" s="139">
        <v>0</v>
      </c>
      <c r="L50" s="17"/>
    </row>
    <row r="51" spans="1:12" ht="15" customHeight="1" x14ac:dyDescent="0.75">
      <c r="A51" s="9">
        <v>43</v>
      </c>
      <c r="B51" s="10" t="s">
        <v>40</v>
      </c>
      <c r="C51" s="10" t="s">
        <v>41</v>
      </c>
      <c r="D51" s="27">
        <v>99</v>
      </c>
      <c r="E51" s="138">
        <v>0.25</v>
      </c>
      <c r="F51" s="27">
        <v>66</v>
      </c>
      <c r="G51" s="28">
        <f t="shared" si="3"/>
        <v>97.058823529411768</v>
      </c>
      <c r="H51" s="29">
        <f t="shared" si="4"/>
        <v>99</v>
      </c>
      <c r="I51" s="28">
        <f t="shared" si="5"/>
        <v>67.320000000000007</v>
      </c>
      <c r="J51" s="139">
        <v>10</v>
      </c>
      <c r="K51" s="139">
        <v>1</v>
      </c>
      <c r="L51" s="17"/>
    </row>
    <row r="52" spans="1:12" ht="15" customHeight="1" x14ac:dyDescent="0.75">
      <c r="A52" s="9">
        <v>44</v>
      </c>
      <c r="B52" s="10" t="s">
        <v>300</v>
      </c>
      <c r="C52" s="10" t="s">
        <v>24</v>
      </c>
      <c r="D52" s="11">
        <v>11.99</v>
      </c>
      <c r="E52" s="138">
        <v>0</v>
      </c>
      <c r="F52" s="11">
        <v>3.49</v>
      </c>
      <c r="G52" s="13">
        <f t="shared" si="3"/>
        <v>4.105882352941177</v>
      </c>
      <c r="H52" s="14">
        <f t="shared" si="4"/>
        <v>4.49</v>
      </c>
      <c r="I52" s="13">
        <f t="shared" si="5"/>
        <v>3.8165</v>
      </c>
      <c r="J52" s="139">
        <v>0.5</v>
      </c>
      <c r="K52" s="139">
        <v>0.01</v>
      </c>
      <c r="L52" s="17" t="s">
        <v>287</v>
      </c>
    </row>
    <row r="53" spans="1:12" ht="15" customHeight="1" x14ac:dyDescent="0.75">
      <c r="A53" s="9">
        <v>45</v>
      </c>
      <c r="B53" s="10" t="s">
        <v>185</v>
      </c>
      <c r="C53" s="10" t="s">
        <v>24</v>
      </c>
      <c r="D53" s="11">
        <v>11.99</v>
      </c>
      <c r="E53" s="138">
        <v>0</v>
      </c>
      <c r="F53" s="11">
        <v>4.99</v>
      </c>
      <c r="G53" s="13">
        <f t="shared" si="3"/>
        <v>5.8705882352941181</v>
      </c>
      <c r="H53" s="14">
        <f t="shared" si="4"/>
        <v>5.99</v>
      </c>
      <c r="I53" s="13">
        <f t="shared" si="5"/>
        <v>5.0914999999999999</v>
      </c>
      <c r="J53" s="139">
        <v>0.5</v>
      </c>
      <c r="K53" s="139">
        <v>0.01</v>
      </c>
      <c r="L53" s="17"/>
    </row>
    <row r="54" spans="1:12" ht="15" customHeight="1" x14ac:dyDescent="0.75">
      <c r="A54" s="9">
        <v>46</v>
      </c>
      <c r="B54" s="10" t="s">
        <v>186</v>
      </c>
      <c r="C54" s="10" t="s">
        <v>24</v>
      </c>
      <c r="D54" s="11">
        <v>11.99</v>
      </c>
      <c r="E54" s="138">
        <v>0</v>
      </c>
      <c r="F54" s="11">
        <v>6.49</v>
      </c>
      <c r="G54" s="13">
        <f t="shared" si="3"/>
        <v>7.6352941176470592</v>
      </c>
      <c r="H54" s="14">
        <f t="shared" si="4"/>
        <v>7.99</v>
      </c>
      <c r="I54" s="13">
        <f t="shared" si="5"/>
        <v>6.7915000000000001</v>
      </c>
      <c r="J54" s="139">
        <v>0.5</v>
      </c>
      <c r="K54" s="139">
        <v>0.01</v>
      </c>
      <c r="L54" s="17"/>
    </row>
    <row r="55" spans="1:12" ht="15" customHeight="1" x14ac:dyDescent="0.75">
      <c r="A55" s="9">
        <v>47</v>
      </c>
      <c r="B55" s="10" t="s">
        <v>187</v>
      </c>
      <c r="C55" s="10" t="s">
        <v>24</v>
      </c>
      <c r="D55" s="11">
        <v>11.99</v>
      </c>
      <c r="E55" s="138">
        <v>0</v>
      </c>
      <c r="F55" s="11">
        <v>4.99</v>
      </c>
      <c r="G55" s="13">
        <f t="shared" si="3"/>
        <v>5.8705882352941181</v>
      </c>
      <c r="H55" s="14">
        <f t="shared" si="4"/>
        <v>5.99</v>
      </c>
      <c r="I55" s="13">
        <f t="shared" si="5"/>
        <v>5.0914999999999999</v>
      </c>
      <c r="J55" s="139">
        <v>0.5</v>
      </c>
      <c r="K55" s="139">
        <v>0.01</v>
      </c>
      <c r="L55" s="17"/>
    </row>
    <row r="56" spans="1:12" ht="15" customHeight="1" x14ac:dyDescent="0.75">
      <c r="A56" s="9">
        <v>48</v>
      </c>
      <c r="B56" s="10" t="s">
        <v>107</v>
      </c>
      <c r="C56" s="10" t="s">
        <v>108</v>
      </c>
      <c r="D56" s="51">
        <v>709.99</v>
      </c>
      <c r="E56" s="138">
        <v>0.14000000000000001</v>
      </c>
      <c r="F56" s="51">
        <v>249</v>
      </c>
      <c r="G56" s="52">
        <f t="shared" si="3"/>
        <v>333.95294117647063</v>
      </c>
      <c r="H56" s="53">
        <f t="shared" si="4"/>
        <v>339.99</v>
      </c>
      <c r="I56" s="52">
        <f t="shared" si="5"/>
        <v>253.50131578947364</v>
      </c>
      <c r="J56" s="139">
        <v>10</v>
      </c>
      <c r="K56" s="139">
        <v>0.01</v>
      </c>
      <c r="L56" s="17"/>
    </row>
    <row r="57" spans="1:12" ht="15" customHeight="1" x14ac:dyDescent="0.75">
      <c r="A57" s="9">
        <v>49</v>
      </c>
      <c r="B57" s="10" t="s">
        <v>188</v>
      </c>
      <c r="C57" s="10" t="s">
        <v>24</v>
      </c>
      <c r="D57" s="11">
        <v>11.99</v>
      </c>
      <c r="E57" s="138">
        <v>0</v>
      </c>
      <c r="F57" s="11">
        <v>3.49</v>
      </c>
      <c r="G57" s="13">
        <f t="shared" si="3"/>
        <v>4.105882352941177</v>
      </c>
      <c r="H57" s="14">
        <f t="shared" si="4"/>
        <v>4.49</v>
      </c>
      <c r="I57" s="13">
        <f t="shared" si="5"/>
        <v>3.8165</v>
      </c>
      <c r="J57" s="139">
        <v>0.5</v>
      </c>
      <c r="K57" s="139">
        <v>0.01</v>
      </c>
      <c r="L57" s="17"/>
    </row>
    <row r="58" spans="1:12" ht="15" customHeight="1" x14ac:dyDescent="0.75">
      <c r="A58" s="9">
        <v>50</v>
      </c>
      <c r="B58" s="10" t="s">
        <v>301</v>
      </c>
      <c r="C58" s="10" t="s">
        <v>24</v>
      </c>
      <c r="D58" s="11">
        <v>11.99</v>
      </c>
      <c r="E58" s="138">
        <v>0</v>
      </c>
      <c r="F58" s="11">
        <v>1.49</v>
      </c>
      <c r="G58" s="13">
        <f t="shared" si="3"/>
        <v>1.7529411764705882</v>
      </c>
      <c r="H58" s="14">
        <f t="shared" si="4"/>
        <v>1.99</v>
      </c>
      <c r="I58" s="13">
        <f t="shared" si="5"/>
        <v>1.6915</v>
      </c>
      <c r="J58" s="139">
        <v>0.5</v>
      </c>
      <c r="K58" s="139">
        <v>0.01</v>
      </c>
      <c r="L58" s="17" t="s">
        <v>287</v>
      </c>
    </row>
    <row r="59" spans="1:12" ht="15" customHeight="1" x14ac:dyDescent="0.75">
      <c r="A59" s="9">
        <v>51</v>
      </c>
      <c r="B59" s="10" t="s">
        <v>42</v>
      </c>
      <c r="C59" s="10" t="s">
        <v>30</v>
      </c>
      <c r="D59" s="21">
        <v>12.99</v>
      </c>
      <c r="E59" s="138">
        <v>0.24</v>
      </c>
      <c r="F59" s="21">
        <v>5.49</v>
      </c>
      <c r="G59" s="22">
        <f t="shared" si="3"/>
        <v>8.0089411764705876</v>
      </c>
      <c r="H59" s="23">
        <f t="shared" si="4"/>
        <v>8.49</v>
      </c>
      <c r="I59" s="22">
        <f t="shared" si="5"/>
        <v>5.8197580645161286</v>
      </c>
      <c r="J59" s="139">
        <v>0.5</v>
      </c>
      <c r="K59" s="139">
        <v>0.01</v>
      </c>
      <c r="L59" s="17"/>
    </row>
    <row r="60" spans="1:12" ht="15" customHeight="1" x14ac:dyDescent="0.75">
      <c r="A60" s="9">
        <v>52</v>
      </c>
      <c r="B60" s="10" t="s">
        <v>220</v>
      </c>
      <c r="C60" s="10" t="s">
        <v>24</v>
      </c>
      <c r="D60" s="11">
        <v>11.99</v>
      </c>
      <c r="E60" s="138">
        <v>0</v>
      </c>
      <c r="F60" s="11">
        <v>4.99</v>
      </c>
      <c r="G60" s="13">
        <f t="shared" si="3"/>
        <v>5.8705882352941181</v>
      </c>
      <c r="H60" s="14">
        <f t="shared" si="4"/>
        <v>5.99</v>
      </c>
      <c r="I60" s="13">
        <f t="shared" si="5"/>
        <v>5.0914999999999999</v>
      </c>
      <c r="J60" s="139">
        <v>0.5</v>
      </c>
      <c r="K60" s="139">
        <v>0.01</v>
      </c>
      <c r="L60" s="17"/>
    </row>
    <row r="61" spans="1:12" ht="15" customHeight="1" x14ac:dyDescent="0.75">
      <c r="A61" s="9">
        <v>53</v>
      </c>
      <c r="B61" s="10" t="s">
        <v>43</v>
      </c>
      <c r="C61" s="10" t="s">
        <v>30</v>
      </c>
      <c r="D61" s="21">
        <v>12.99</v>
      </c>
      <c r="E61" s="138">
        <v>0.255</v>
      </c>
      <c r="F61" s="21">
        <v>7.49</v>
      </c>
      <c r="G61" s="22">
        <f t="shared" si="3"/>
        <v>11.058764705882353</v>
      </c>
      <c r="H61" s="23">
        <f t="shared" si="4"/>
        <v>11.49</v>
      </c>
      <c r="I61" s="22">
        <f t="shared" si="5"/>
        <v>7.7820717131474106</v>
      </c>
      <c r="J61" s="139">
        <v>0.5</v>
      </c>
      <c r="K61" s="139">
        <v>0.01</v>
      </c>
      <c r="L61" s="17"/>
    </row>
    <row r="62" spans="1:12" ht="15" customHeight="1" x14ac:dyDescent="0.75">
      <c r="A62" s="9">
        <v>54</v>
      </c>
      <c r="B62" s="10" t="s">
        <v>44</v>
      </c>
      <c r="C62" s="10" t="s">
        <v>30</v>
      </c>
      <c r="D62" s="21">
        <v>12.99</v>
      </c>
      <c r="E62" s="138">
        <v>0.2</v>
      </c>
      <c r="F62" s="21">
        <v>8.99</v>
      </c>
      <c r="G62" s="22">
        <f t="shared" si="3"/>
        <v>12.691764705882353</v>
      </c>
      <c r="H62" s="23">
        <f t="shared" si="4"/>
        <v>12.99</v>
      </c>
      <c r="I62" s="22">
        <f t="shared" si="5"/>
        <v>9.2012499999999999</v>
      </c>
      <c r="J62" s="139">
        <v>0.5</v>
      </c>
      <c r="K62" s="139">
        <v>0.01</v>
      </c>
      <c r="L62" s="17"/>
    </row>
    <row r="63" spans="1:12" ht="15" customHeight="1" x14ac:dyDescent="0.75">
      <c r="A63" s="9">
        <v>55</v>
      </c>
      <c r="B63" s="10" t="s">
        <v>110</v>
      </c>
      <c r="C63" s="10" t="s">
        <v>30</v>
      </c>
      <c r="D63" s="21">
        <v>10.53</v>
      </c>
      <c r="E63" s="138">
        <v>0</v>
      </c>
      <c r="F63" s="21">
        <v>3.99</v>
      </c>
      <c r="G63" s="22">
        <f t="shared" si="3"/>
        <v>4.6941176470588237</v>
      </c>
      <c r="H63" s="23">
        <f t="shared" si="4"/>
        <v>4.99</v>
      </c>
      <c r="I63" s="22">
        <f t="shared" si="5"/>
        <v>4.2415000000000003</v>
      </c>
      <c r="J63" s="139">
        <v>0.5</v>
      </c>
      <c r="K63" s="139">
        <v>0.01</v>
      </c>
      <c r="L63" s="17"/>
    </row>
    <row r="64" spans="1:12" ht="15" customHeight="1" x14ac:dyDescent="0.75">
      <c r="A64" s="9">
        <v>56</v>
      </c>
      <c r="B64" s="10" t="s">
        <v>112</v>
      </c>
      <c r="C64" s="10" t="s">
        <v>24</v>
      </c>
      <c r="D64" s="11">
        <v>11.99</v>
      </c>
      <c r="E64" s="138">
        <v>0</v>
      </c>
      <c r="F64" s="11">
        <v>1.49</v>
      </c>
      <c r="G64" s="13">
        <f t="shared" si="3"/>
        <v>1.7529411764705882</v>
      </c>
      <c r="H64" s="14">
        <f t="shared" si="4"/>
        <v>1.99</v>
      </c>
      <c r="I64" s="13">
        <f t="shared" si="5"/>
        <v>1.6915</v>
      </c>
      <c r="J64" s="139">
        <v>0.5</v>
      </c>
      <c r="K64" s="139">
        <v>0.01</v>
      </c>
      <c r="L64" s="17"/>
    </row>
    <row r="65" spans="1:12" ht="15" customHeight="1" x14ac:dyDescent="0.75">
      <c r="A65" s="9">
        <v>57</v>
      </c>
      <c r="B65" s="10" t="s">
        <v>113</v>
      </c>
      <c r="C65" s="10" t="s">
        <v>302</v>
      </c>
      <c r="D65" s="158">
        <v>39</v>
      </c>
      <c r="E65" s="138">
        <v>0.18</v>
      </c>
      <c r="F65" s="158">
        <v>17</v>
      </c>
      <c r="G65" s="159">
        <f t="shared" si="3"/>
        <v>23.599999999999998</v>
      </c>
      <c r="H65" s="160">
        <f t="shared" si="4"/>
        <v>24</v>
      </c>
      <c r="I65" s="159">
        <f t="shared" si="5"/>
        <v>17.288135593220339</v>
      </c>
      <c r="J65" s="139">
        <v>1</v>
      </c>
      <c r="K65" s="139">
        <v>0</v>
      </c>
      <c r="L65" s="17"/>
    </row>
    <row r="66" spans="1:12" ht="15" customHeight="1" x14ac:dyDescent="0.75">
      <c r="A66" s="9">
        <v>58</v>
      </c>
      <c r="B66" s="10" t="s">
        <v>45</v>
      </c>
      <c r="C66" s="10" t="s">
        <v>30</v>
      </c>
      <c r="D66" s="21">
        <v>12.99</v>
      </c>
      <c r="E66" s="138">
        <v>0.19</v>
      </c>
      <c r="F66" s="21">
        <v>8.99</v>
      </c>
      <c r="G66" s="22">
        <f t="shared" si="3"/>
        <v>12.585999999999999</v>
      </c>
      <c r="H66" s="23">
        <f t="shared" si="4"/>
        <v>12.99</v>
      </c>
      <c r="I66" s="22">
        <f t="shared" si="5"/>
        <v>9.2785714285714285</v>
      </c>
      <c r="J66" s="139">
        <v>0.5</v>
      </c>
      <c r="K66" s="139">
        <v>0.01</v>
      </c>
      <c r="L66" s="17"/>
    </row>
    <row r="67" spans="1:12" ht="15" customHeight="1" x14ac:dyDescent="0.75">
      <c r="A67" s="9">
        <v>59</v>
      </c>
      <c r="B67" s="10" t="s">
        <v>115</v>
      </c>
      <c r="C67" s="10" t="s">
        <v>303</v>
      </c>
      <c r="D67" s="161">
        <v>170</v>
      </c>
      <c r="E67" s="138">
        <v>0.2</v>
      </c>
      <c r="F67" s="161">
        <v>30</v>
      </c>
      <c r="G67" s="162">
        <f t="shared" si="3"/>
        <v>42.352941176470587</v>
      </c>
      <c r="H67" s="163">
        <f t="shared" si="4"/>
        <v>43</v>
      </c>
      <c r="I67" s="162">
        <f t="shared" si="5"/>
        <v>30.458333333333336</v>
      </c>
      <c r="J67" s="139">
        <v>1</v>
      </c>
      <c r="K67" s="139">
        <v>0</v>
      </c>
      <c r="L67" s="17"/>
    </row>
    <row r="68" spans="1:12" ht="15" customHeight="1" x14ac:dyDescent="0.75">
      <c r="A68" s="9">
        <v>60</v>
      </c>
      <c r="B68" s="10" t="s">
        <v>304</v>
      </c>
      <c r="C68" s="10" t="s">
        <v>86</v>
      </c>
      <c r="D68" s="48">
        <v>8.99</v>
      </c>
      <c r="E68" s="138">
        <v>0</v>
      </c>
      <c r="F68" s="48">
        <v>6.49</v>
      </c>
      <c r="G68" s="49">
        <f t="shared" si="3"/>
        <v>7.6352941176470592</v>
      </c>
      <c r="H68" s="50">
        <f t="shared" si="4"/>
        <v>7.99</v>
      </c>
      <c r="I68" s="49">
        <f t="shared" si="5"/>
        <v>6.7915000000000001</v>
      </c>
      <c r="J68" s="139">
        <v>0.5</v>
      </c>
      <c r="K68" s="139">
        <v>0.01</v>
      </c>
      <c r="L68" s="17" t="s">
        <v>287</v>
      </c>
    </row>
    <row r="69" spans="1:12" ht="15" customHeight="1" x14ac:dyDescent="0.75">
      <c r="A69" s="9">
        <v>61</v>
      </c>
      <c r="B69" s="10" t="s">
        <v>46</v>
      </c>
      <c r="C69" s="10" t="s">
        <v>30</v>
      </c>
      <c r="D69" s="21">
        <v>12.99</v>
      </c>
      <c r="E69" s="138">
        <v>0.24</v>
      </c>
      <c r="F69" s="21">
        <v>5.49</v>
      </c>
      <c r="G69" s="22">
        <f t="shared" si="3"/>
        <v>8.0089411764705876</v>
      </c>
      <c r="H69" s="23">
        <f t="shared" si="4"/>
        <v>8.49</v>
      </c>
      <c r="I69" s="22">
        <f t="shared" si="5"/>
        <v>5.8197580645161286</v>
      </c>
      <c r="J69" s="139">
        <v>0.5</v>
      </c>
      <c r="K69" s="139">
        <v>0.01</v>
      </c>
      <c r="L69" s="17"/>
    </row>
    <row r="70" spans="1:12" ht="15" customHeight="1" x14ac:dyDescent="0.75">
      <c r="A70" s="9">
        <v>62</v>
      </c>
      <c r="B70" s="10" t="s">
        <v>189</v>
      </c>
      <c r="C70" s="10" t="s">
        <v>24</v>
      </c>
      <c r="D70" s="11">
        <v>11.99</v>
      </c>
      <c r="E70" s="138">
        <v>0</v>
      </c>
      <c r="F70" s="11">
        <v>4.99</v>
      </c>
      <c r="G70" s="13">
        <f t="shared" si="3"/>
        <v>5.8705882352941181</v>
      </c>
      <c r="H70" s="14">
        <f t="shared" si="4"/>
        <v>5.99</v>
      </c>
      <c r="I70" s="13">
        <f t="shared" si="5"/>
        <v>5.0914999999999999</v>
      </c>
      <c r="J70" s="139">
        <v>0.5</v>
      </c>
      <c r="K70" s="139">
        <v>0.01</v>
      </c>
      <c r="L70" s="17"/>
    </row>
    <row r="71" spans="1:12" ht="15" customHeight="1" x14ac:dyDescent="0.75">
      <c r="A71" s="9">
        <v>63</v>
      </c>
      <c r="B71" s="10" t="s">
        <v>190</v>
      </c>
      <c r="C71" s="10" t="s">
        <v>24</v>
      </c>
      <c r="D71" s="11">
        <v>11.99</v>
      </c>
      <c r="E71" s="138">
        <v>0</v>
      </c>
      <c r="F71" s="11">
        <v>4.99</v>
      </c>
      <c r="G71" s="13">
        <f t="shared" si="3"/>
        <v>5.8705882352941181</v>
      </c>
      <c r="H71" s="14">
        <f t="shared" si="4"/>
        <v>5.99</v>
      </c>
      <c r="I71" s="13">
        <f t="shared" si="5"/>
        <v>5.0914999999999999</v>
      </c>
      <c r="J71" s="139">
        <v>0.5</v>
      </c>
      <c r="K71" s="139">
        <v>0.01</v>
      </c>
      <c r="L71" s="17"/>
    </row>
    <row r="72" spans="1:12" ht="15" customHeight="1" x14ac:dyDescent="0.75">
      <c r="A72" s="9">
        <v>64</v>
      </c>
      <c r="B72" s="10" t="s">
        <v>305</v>
      </c>
      <c r="C72" s="10" t="s">
        <v>24</v>
      </c>
      <c r="D72" s="11">
        <v>11.99</v>
      </c>
      <c r="E72" s="138">
        <v>0</v>
      </c>
      <c r="F72" s="11">
        <v>2.4900000000000002</v>
      </c>
      <c r="G72" s="13">
        <f t="shared" si="3"/>
        <v>2.9294117647058826</v>
      </c>
      <c r="H72" s="14">
        <f t="shared" si="4"/>
        <v>2.99</v>
      </c>
      <c r="I72" s="13">
        <f t="shared" si="5"/>
        <v>2.5415000000000001</v>
      </c>
      <c r="J72" s="139">
        <v>0.5</v>
      </c>
      <c r="K72" s="139">
        <v>0.01</v>
      </c>
      <c r="L72" s="17" t="s">
        <v>287</v>
      </c>
    </row>
    <row r="73" spans="1:12" ht="15" customHeight="1" x14ac:dyDescent="0.75">
      <c r="A73" s="9">
        <v>65</v>
      </c>
      <c r="B73" s="10" t="s">
        <v>117</v>
      </c>
      <c r="C73" s="10" t="s">
        <v>30</v>
      </c>
      <c r="D73" s="21">
        <v>10.53</v>
      </c>
      <c r="E73" s="138">
        <v>0</v>
      </c>
      <c r="F73" s="21">
        <v>1.49</v>
      </c>
      <c r="G73" s="22">
        <f t="shared" ref="G73:G104" si="6">F73/(1-$D$4)*(1+E73)</f>
        <v>1.7529411764705882</v>
      </c>
      <c r="H73" s="23">
        <f t="shared" ref="H73:H104" si="7">CEILING(G73+K73,J73)-K73</f>
        <v>1.99</v>
      </c>
      <c r="I73" s="22">
        <f t="shared" ref="I73:I104" si="8">H73/(1+E73)*(1-$D$4)</f>
        <v>1.6915</v>
      </c>
      <c r="J73" s="139">
        <v>0.5</v>
      </c>
      <c r="K73" s="139">
        <v>0.01</v>
      </c>
      <c r="L73" s="17"/>
    </row>
    <row r="74" spans="1:12" ht="15" customHeight="1" x14ac:dyDescent="0.75">
      <c r="A74" s="9">
        <v>66</v>
      </c>
      <c r="B74" s="10" t="s">
        <v>306</v>
      </c>
      <c r="C74" s="10" t="s">
        <v>24</v>
      </c>
      <c r="D74" s="11">
        <v>11.99</v>
      </c>
      <c r="E74" s="138">
        <v>0</v>
      </c>
      <c r="F74" s="11">
        <v>1.49</v>
      </c>
      <c r="G74" s="13">
        <f t="shared" si="6"/>
        <v>1.7529411764705882</v>
      </c>
      <c r="H74" s="14">
        <f t="shared" si="7"/>
        <v>1.99</v>
      </c>
      <c r="I74" s="13">
        <f t="shared" si="8"/>
        <v>1.6915</v>
      </c>
      <c r="J74" s="139">
        <v>0.5</v>
      </c>
      <c r="K74" s="139">
        <v>0.01</v>
      </c>
      <c r="L74" s="17" t="s">
        <v>287</v>
      </c>
    </row>
    <row r="75" spans="1:12" ht="15" customHeight="1" x14ac:dyDescent="0.75">
      <c r="A75" s="9">
        <v>67</v>
      </c>
      <c r="B75" s="10" t="s">
        <v>192</v>
      </c>
      <c r="C75" s="10" t="s">
        <v>24</v>
      </c>
      <c r="D75" s="11">
        <v>11.99</v>
      </c>
      <c r="E75" s="138">
        <v>0</v>
      </c>
      <c r="F75" s="11">
        <v>2.4900000000000002</v>
      </c>
      <c r="G75" s="13">
        <f t="shared" si="6"/>
        <v>2.9294117647058826</v>
      </c>
      <c r="H75" s="14">
        <f t="shared" si="7"/>
        <v>2.99</v>
      </c>
      <c r="I75" s="13">
        <f t="shared" si="8"/>
        <v>2.5415000000000001</v>
      </c>
      <c r="J75" s="139">
        <v>0.5</v>
      </c>
      <c r="K75" s="139">
        <v>0.01</v>
      </c>
      <c r="L75" s="17"/>
    </row>
    <row r="76" spans="1:12" ht="15" customHeight="1" x14ac:dyDescent="0.75">
      <c r="A76" s="9">
        <v>68</v>
      </c>
      <c r="B76" s="10" t="s">
        <v>221</v>
      </c>
      <c r="C76" s="10" t="s">
        <v>222</v>
      </c>
      <c r="D76" s="164">
        <v>95.9</v>
      </c>
      <c r="E76" s="138">
        <v>0</v>
      </c>
      <c r="F76" s="164">
        <v>78</v>
      </c>
      <c r="G76" s="165">
        <f t="shared" si="6"/>
        <v>91.764705882352942</v>
      </c>
      <c r="H76" s="166">
        <f t="shared" si="7"/>
        <v>91.9</v>
      </c>
      <c r="I76" s="165">
        <f t="shared" si="8"/>
        <v>78.115000000000009</v>
      </c>
      <c r="J76" s="139">
        <v>1</v>
      </c>
      <c r="K76" s="139">
        <v>0.1</v>
      </c>
      <c r="L76" s="17"/>
    </row>
    <row r="77" spans="1:12" ht="15" customHeight="1" x14ac:dyDescent="0.75">
      <c r="A77" s="9">
        <v>69</v>
      </c>
      <c r="B77" s="10" t="s">
        <v>47</v>
      </c>
      <c r="C77" s="10" t="s">
        <v>48</v>
      </c>
      <c r="D77" s="30">
        <v>4890</v>
      </c>
      <c r="E77" s="138">
        <v>0.27</v>
      </c>
      <c r="F77" s="30">
        <v>2050</v>
      </c>
      <c r="G77" s="31">
        <f t="shared" si="6"/>
        <v>3062.9411764705887</v>
      </c>
      <c r="H77" s="32">
        <f t="shared" si="7"/>
        <v>3090</v>
      </c>
      <c r="I77" s="31">
        <f t="shared" si="8"/>
        <v>2068.110236220472</v>
      </c>
      <c r="J77" s="139">
        <v>100</v>
      </c>
      <c r="K77" s="139">
        <v>10</v>
      </c>
      <c r="L77" s="17"/>
    </row>
    <row r="78" spans="1:12" ht="15" customHeight="1" x14ac:dyDescent="0.75">
      <c r="A78" s="9">
        <v>70</v>
      </c>
      <c r="B78" s="10" t="s">
        <v>49</v>
      </c>
      <c r="C78" s="10" t="s">
        <v>30</v>
      </c>
      <c r="D78" s="21">
        <v>13.06</v>
      </c>
      <c r="E78" s="138">
        <v>0.24</v>
      </c>
      <c r="F78" s="21">
        <v>8.99</v>
      </c>
      <c r="G78" s="22">
        <f t="shared" si="6"/>
        <v>13.114823529411764</v>
      </c>
      <c r="H78" s="23">
        <f t="shared" si="7"/>
        <v>13.49</v>
      </c>
      <c r="I78" s="22">
        <f t="shared" si="8"/>
        <v>9.2471774193548377</v>
      </c>
      <c r="J78" s="139">
        <v>0.5</v>
      </c>
      <c r="K78" s="139">
        <v>0.01</v>
      </c>
      <c r="L78" s="17"/>
    </row>
    <row r="79" spans="1:12" ht="15" customHeight="1" x14ac:dyDescent="0.75">
      <c r="A79" s="9">
        <v>71</v>
      </c>
      <c r="B79" s="10" t="s">
        <v>118</v>
      </c>
      <c r="C79" s="10" t="s">
        <v>119</v>
      </c>
      <c r="D79" s="54">
        <v>1150</v>
      </c>
      <c r="E79" s="138">
        <v>0</v>
      </c>
      <c r="F79" s="54">
        <v>340</v>
      </c>
      <c r="G79" s="55">
        <f t="shared" si="6"/>
        <v>400</v>
      </c>
      <c r="H79" s="56">
        <f t="shared" si="7"/>
        <v>409</v>
      </c>
      <c r="I79" s="55">
        <f t="shared" si="8"/>
        <v>347.65</v>
      </c>
      <c r="J79" s="139">
        <v>10</v>
      </c>
      <c r="K79" s="139">
        <v>1</v>
      </c>
      <c r="L79" s="17"/>
    </row>
    <row r="80" spans="1:12" ht="15" customHeight="1" x14ac:dyDescent="0.75">
      <c r="A80" s="9">
        <v>72</v>
      </c>
      <c r="B80" s="10" t="s">
        <v>223</v>
      </c>
      <c r="C80" s="10" t="s">
        <v>224</v>
      </c>
      <c r="D80" s="102">
        <v>219000</v>
      </c>
      <c r="E80" s="138">
        <v>0</v>
      </c>
      <c r="F80" s="102">
        <v>86000</v>
      </c>
      <c r="G80" s="103">
        <f t="shared" si="6"/>
        <v>101176.4705882353</v>
      </c>
      <c r="H80" s="104">
        <f t="shared" si="7"/>
        <v>102000</v>
      </c>
      <c r="I80" s="103">
        <f t="shared" si="8"/>
        <v>86700</v>
      </c>
      <c r="J80" s="139">
        <v>1000</v>
      </c>
      <c r="K80" s="139">
        <v>0</v>
      </c>
      <c r="L80" s="17"/>
    </row>
    <row r="81" spans="1:12" ht="15" customHeight="1" x14ac:dyDescent="0.75">
      <c r="A81" s="9">
        <v>73</v>
      </c>
      <c r="B81" s="10" t="s">
        <v>120</v>
      </c>
      <c r="C81" s="10" t="s">
        <v>307</v>
      </c>
      <c r="D81" s="167">
        <v>15700</v>
      </c>
      <c r="E81" s="138">
        <v>0</v>
      </c>
      <c r="F81" s="167">
        <v>6300</v>
      </c>
      <c r="G81" s="168">
        <f t="shared" si="6"/>
        <v>7411.7647058823532</v>
      </c>
      <c r="H81" s="169">
        <f t="shared" si="7"/>
        <v>7500</v>
      </c>
      <c r="I81" s="168">
        <f t="shared" si="8"/>
        <v>6375</v>
      </c>
      <c r="J81" s="139">
        <v>100</v>
      </c>
      <c r="K81" s="139">
        <v>0</v>
      </c>
      <c r="L81" s="17"/>
    </row>
    <row r="82" spans="1:12" ht="15" customHeight="1" x14ac:dyDescent="0.75">
      <c r="A82" s="9">
        <v>74</v>
      </c>
      <c r="B82" s="10" t="s">
        <v>51</v>
      </c>
      <c r="C82" s="10" t="s">
        <v>30</v>
      </c>
      <c r="D82" s="21">
        <v>12.99</v>
      </c>
      <c r="E82" s="138">
        <v>0.23</v>
      </c>
      <c r="F82" s="21">
        <v>9.99</v>
      </c>
      <c r="G82" s="22">
        <f t="shared" si="6"/>
        <v>14.456117647058825</v>
      </c>
      <c r="H82" s="23">
        <f t="shared" si="7"/>
        <v>14.49</v>
      </c>
      <c r="I82" s="22">
        <f t="shared" si="8"/>
        <v>10.013414634146342</v>
      </c>
      <c r="J82" s="139">
        <v>0.5</v>
      </c>
      <c r="K82" s="139">
        <v>0.01</v>
      </c>
      <c r="L82" s="17"/>
    </row>
    <row r="83" spans="1:12" ht="15" customHeight="1" x14ac:dyDescent="0.75">
      <c r="A83" s="9">
        <v>75</v>
      </c>
      <c r="B83" s="10" t="s">
        <v>122</v>
      </c>
      <c r="C83" s="10" t="s">
        <v>123</v>
      </c>
      <c r="D83" s="57">
        <v>36.9</v>
      </c>
      <c r="E83" s="138">
        <v>0</v>
      </c>
      <c r="F83" s="57">
        <v>25.9</v>
      </c>
      <c r="G83" s="58">
        <f t="shared" si="6"/>
        <v>30.470588235294116</v>
      </c>
      <c r="H83" s="59">
        <f t="shared" si="7"/>
        <v>30.9</v>
      </c>
      <c r="I83" s="58">
        <f t="shared" si="8"/>
        <v>26.264999999999997</v>
      </c>
      <c r="J83" s="139">
        <v>1</v>
      </c>
      <c r="K83" s="139">
        <v>0.1</v>
      </c>
      <c r="L83" s="17"/>
    </row>
    <row r="84" spans="1:12" ht="15" customHeight="1" x14ac:dyDescent="0.75">
      <c r="A84" s="9">
        <v>76</v>
      </c>
      <c r="B84" s="10" t="s">
        <v>52</v>
      </c>
      <c r="C84" s="10" t="s">
        <v>30</v>
      </c>
      <c r="D84" s="21">
        <v>12.99</v>
      </c>
      <c r="E84" s="138">
        <v>0.22</v>
      </c>
      <c r="F84" s="21">
        <v>7.49</v>
      </c>
      <c r="G84" s="22">
        <f t="shared" si="6"/>
        <v>10.750352941176471</v>
      </c>
      <c r="H84" s="23">
        <f t="shared" si="7"/>
        <v>10.99</v>
      </c>
      <c r="I84" s="22">
        <f t="shared" si="8"/>
        <v>7.6569672131147541</v>
      </c>
      <c r="J84" s="139">
        <v>0.5</v>
      </c>
      <c r="K84" s="139">
        <v>0.01</v>
      </c>
      <c r="L84" s="17"/>
    </row>
    <row r="85" spans="1:12" ht="15" customHeight="1" x14ac:dyDescent="0.75">
      <c r="A85" s="9">
        <v>77</v>
      </c>
      <c r="B85" s="10" t="s">
        <v>193</v>
      </c>
      <c r="C85" s="10" t="s">
        <v>24</v>
      </c>
      <c r="D85" s="11">
        <v>11.99</v>
      </c>
      <c r="E85" s="138">
        <v>0</v>
      </c>
      <c r="F85" s="11">
        <v>3.49</v>
      </c>
      <c r="G85" s="13">
        <f t="shared" si="6"/>
        <v>4.105882352941177</v>
      </c>
      <c r="H85" s="14">
        <f t="shared" si="7"/>
        <v>4.49</v>
      </c>
      <c r="I85" s="13">
        <f t="shared" si="8"/>
        <v>3.8165</v>
      </c>
      <c r="J85" s="139">
        <v>0.5</v>
      </c>
      <c r="K85" s="139">
        <v>0.01</v>
      </c>
      <c r="L85" s="17"/>
    </row>
    <row r="86" spans="1:12" ht="15" customHeight="1" x14ac:dyDescent="0.75">
      <c r="A86" s="9">
        <v>78</v>
      </c>
      <c r="B86" s="10" t="s">
        <v>225</v>
      </c>
      <c r="C86" s="10" t="s">
        <v>226</v>
      </c>
      <c r="D86" s="96">
        <v>2080</v>
      </c>
      <c r="E86" s="138">
        <v>0.1</v>
      </c>
      <c r="F86" s="96">
        <v>1340</v>
      </c>
      <c r="G86" s="97">
        <f t="shared" si="6"/>
        <v>1734.1176470588236</v>
      </c>
      <c r="H86" s="98">
        <f t="shared" si="7"/>
        <v>1740</v>
      </c>
      <c r="I86" s="97">
        <f t="shared" si="8"/>
        <v>1344.5454545454545</v>
      </c>
      <c r="J86" s="139">
        <v>10</v>
      </c>
      <c r="K86" s="139">
        <v>0</v>
      </c>
      <c r="L86" s="17"/>
    </row>
    <row r="87" spans="1:12" ht="15" customHeight="1" x14ac:dyDescent="0.75">
      <c r="A87" s="9">
        <v>79</v>
      </c>
      <c r="B87" s="10" t="s">
        <v>124</v>
      </c>
      <c r="C87" s="10" t="s">
        <v>308</v>
      </c>
      <c r="D87" s="170">
        <v>8.5</v>
      </c>
      <c r="E87" s="138">
        <v>0</v>
      </c>
      <c r="F87" s="170">
        <v>2.4900000000000002</v>
      </c>
      <c r="G87" s="171">
        <f t="shared" si="6"/>
        <v>2.9294117647058826</v>
      </c>
      <c r="H87" s="172">
        <f t="shared" si="7"/>
        <v>2.99</v>
      </c>
      <c r="I87" s="171">
        <f t="shared" si="8"/>
        <v>2.5415000000000001</v>
      </c>
      <c r="J87" s="139">
        <v>0.5</v>
      </c>
      <c r="K87" s="139">
        <v>0.01</v>
      </c>
      <c r="L87" s="17"/>
    </row>
    <row r="88" spans="1:12" ht="15" customHeight="1" x14ac:dyDescent="0.75">
      <c r="A88" s="9">
        <v>80</v>
      </c>
      <c r="B88" s="10" t="s">
        <v>227</v>
      </c>
      <c r="C88" s="10" t="s">
        <v>228</v>
      </c>
      <c r="D88" s="105">
        <v>6190</v>
      </c>
      <c r="E88" s="138">
        <v>0.16</v>
      </c>
      <c r="F88" s="105">
        <v>3750</v>
      </c>
      <c r="G88" s="106">
        <f t="shared" si="6"/>
        <v>5117.6470588235297</v>
      </c>
      <c r="H88" s="107">
        <f t="shared" si="7"/>
        <v>5120</v>
      </c>
      <c r="I88" s="106">
        <f t="shared" si="8"/>
        <v>3751.7241379310349</v>
      </c>
      <c r="J88" s="139">
        <v>10</v>
      </c>
      <c r="K88" s="139">
        <v>0</v>
      </c>
      <c r="L88" s="17"/>
    </row>
    <row r="89" spans="1:12" ht="15" customHeight="1" x14ac:dyDescent="0.75">
      <c r="A89" s="9">
        <v>81</v>
      </c>
      <c r="B89" s="10" t="s">
        <v>126</v>
      </c>
      <c r="C89" s="10" t="s">
        <v>309</v>
      </c>
      <c r="D89" s="173">
        <v>1800</v>
      </c>
      <c r="E89" s="138">
        <v>0.16</v>
      </c>
      <c r="F89" s="173">
        <v>340</v>
      </c>
      <c r="G89" s="174">
        <f t="shared" si="6"/>
        <v>463.99999999999994</v>
      </c>
      <c r="H89" s="175">
        <f t="shared" si="7"/>
        <v>470</v>
      </c>
      <c r="I89" s="174">
        <f t="shared" si="8"/>
        <v>344.39655172413796</v>
      </c>
      <c r="J89" s="139">
        <v>10</v>
      </c>
      <c r="K89" s="139">
        <v>0</v>
      </c>
      <c r="L89" s="17"/>
    </row>
    <row r="90" spans="1:12" ht="15" customHeight="1" x14ac:dyDescent="0.75">
      <c r="A90" s="9">
        <v>82</v>
      </c>
      <c r="B90" s="10" t="s">
        <v>128</v>
      </c>
      <c r="C90" s="10" t="s">
        <v>24</v>
      </c>
      <c r="D90" s="11">
        <v>11.99</v>
      </c>
      <c r="E90" s="138">
        <v>0</v>
      </c>
      <c r="F90" s="11">
        <v>8.49</v>
      </c>
      <c r="G90" s="13">
        <f t="shared" si="6"/>
        <v>9.9882352941176471</v>
      </c>
      <c r="H90" s="14">
        <f t="shared" si="7"/>
        <v>9.99</v>
      </c>
      <c r="I90" s="13">
        <f t="shared" si="8"/>
        <v>8.4915000000000003</v>
      </c>
      <c r="J90" s="139">
        <v>0.5</v>
      </c>
      <c r="K90" s="139">
        <v>0.01</v>
      </c>
      <c r="L90" s="17"/>
    </row>
    <row r="91" spans="1:12" ht="15" customHeight="1" x14ac:dyDescent="0.75">
      <c r="A91" s="9">
        <v>83</v>
      </c>
      <c r="B91" s="10" t="s">
        <v>231</v>
      </c>
      <c r="C91" s="10" t="s">
        <v>24</v>
      </c>
      <c r="D91" s="11">
        <v>11.99</v>
      </c>
      <c r="E91" s="138">
        <v>0</v>
      </c>
      <c r="F91" s="11">
        <v>3.49</v>
      </c>
      <c r="G91" s="13">
        <f t="shared" si="6"/>
        <v>4.105882352941177</v>
      </c>
      <c r="H91" s="14">
        <f t="shared" si="7"/>
        <v>4.49</v>
      </c>
      <c r="I91" s="13">
        <f t="shared" si="8"/>
        <v>3.8165</v>
      </c>
      <c r="J91" s="139">
        <v>0.5</v>
      </c>
      <c r="K91" s="139">
        <v>0.01</v>
      </c>
      <c r="L91" s="17"/>
    </row>
    <row r="92" spans="1:12" ht="15" customHeight="1" x14ac:dyDescent="0.75">
      <c r="A92" s="9">
        <v>84</v>
      </c>
      <c r="B92" s="10" t="s">
        <v>232</v>
      </c>
      <c r="C92" s="10" t="s">
        <v>24</v>
      </c>
      <c r="D92" s="11">
        <v>11.99</v>
      </c>
      <c r="E92" s="138">
        <v>0</v>
      </c>
      <c r="F92" s="11">
        <v>3.49</v>
      </c>
      <c r="G92" s="13">
        <f t="shared" si="6"/>
        <v>4.105882352941177</v>
      </c>
      <c r="H92" s="14">
        <f t="shared" si="7"/>
        <v>4.49</v>
      </c>
      <c r="I92" s="13">
        <f t="shared" si="8"/>
        <v>3.8165</v>
      </c>
      <c r="J92" s="139">
        <v>0.5</v>
      </c>
      <c r="K92" s="139">
        <v>0.01</v>
      </c>
      <c r="L92" s="17"/>
    </row>
    <row r="93" spans="1:12" ht="15" customHeight="1" x14ac:dyDescent="0.75">
      <c r="A93" s="9">
        <v>85</v>
      </c>
      <c r="B93" s="10" t="s">
        <v>55</v>
      </c>
      <c r="C93" s="10" t="s">
        <v>30</v>
      </c>
      <c r="D93" s="21">
        <v>12.99</v>
      </c>
      <c r="E93" s="138">
        <v>0.21</v>
      </c>
      <c r="F93" s="21">
        <v>5.49</v>
      </c>
      <c r="G93" s="22">
        <f t="shared" si="6"/>
        <v>7.8151764705882352</v>
      </c>
      <c r="H93" s="23">
        <f t="shared" si="7"/>
        <v>7.99</v>
      </c>
      <c r="I93" s="22">
        <f t="shared" si="8"/>
        <v>5.6128099173553725</v>
      </c>
      <c r="J93" s="139">
        <v>0.5</v>
      </c>
      <c r="K93" s="139">
        <v>0.01</v>
      </c>
      <c r="L93" s="17"/>
    </row>
    <row r="94" spans="1:12" ht="15" customHeight="1" x14ac:dyDescent="0.75">
      <c r="A94" s="9">
        <v>86</v>
      </c>
      <c r="B94" s="10" t="s">
        <v>129</v>
      </c>
      <c r="C94" s="10" t="s">
        <v>24</v>
      </c>
      <c r="D94" s="11">
        <v>11.99</v>
      </c>
      <c r="E94" s="138">
        <v>0</v>
      </c>
      <c r="F94" s="11">
        <v>3.49</v>
      </c>
      <c r="G94" s="13">
        <f t="shared" si="6"/>
        <v>4.105882352941177</v>
      </c>
      <c r="H94" s="14">
        <f t="shared" si="7"/>
        <v>4.49</v>
      </c>
      <c r="I94" s="13">
        <f t="shared" si="8"/>
        <v>3.8165</v>
      </c>
      <c r="J94" s="139">
        <v>0.5</v>
      </c>
      <c r="K94" s="139">
        <v>0.01</v>
      </c>
      <c r="L94" s="17"/>
    </row>
    <row r="95" spans="1:12" ht="15" customHeight="1" x14ac:dyDescent="0.75">
      <c r="A95" s="9">
        <v>87</v>
      </c>
      <c r="B95" s="10" t="s">
        <v>130</v>
      </c>
      <c r="C95" s="10" t="s">
        <v>24</v>
      </c>
      <c r="D95" s="11">
        <v>11.99</v>
      </c>
      <c r="E95" s="138">
        <v>0</v>
      </c>
      <c r="F95" s="11">
        <v>1.49</v>
      </c>
      <c r="G95" s="13">
        <f t="shared" si="6"/>
        <v>1.7529411764705882</v>
      </c>
      <c r="H95" s="14">
        <f t="shared" si="7"/>
        <v>1.99</v>
      </c>
      <c r="I95" s="13">
        <f t="shared" si="8"/>
        <v>1.6915</v>
      </c>
      <c r="J95" s="139">
        <v>0.5</v>
      </c>
      <c r="K95" s="139">
        <v>0.01</v>
      </c>
      <c r="L95" s="17"/>
    </row>
    <row r="96" spans="1:12" ht="15" customHeight="1" x14ac:dyDescent="0.75">
      <c r="A96" s="9">
        <v>88</v>
      </c>
      <c r="B96" s="10" t="s">
        <v>131</v>
      </c>
      <c r="C96" s="10" t="s">
        <v>24</v>
      </c>
      <c r="D96" s="11">
        <v>11.99</v>
      </c>
      <c r="E96" s="138">
        <v>0</v>
      </c>
      <c r="F96" s="11">
        <v>4.99</v>
      </c>
      <c r="G96" s="13">
        <f t="shared" si="6"/>
        <v>5.8705882352941181</v>
      </c>
      <c r="H96" s="14">
        <f t="shared" si="7"/>
        <v>5.99</v>
      </c>
      <c r="I96" s="13">
        <f t="shared" si="8"/>
        <v>5.0914999999999999</v>
      </c>
      <c r="J96" s="139">
        <v>0.5</v>
      </c>
      <c r="K96" s="139">
        <v>0.01</v>
      </c>
      <c r="L96" s="17"/>
    </row>
    <row r="97" spans="1:12" ht="15" customHeight="1" x14ac:dyDescent="0.75">
      <c r="A97" s="9">
        <v>89</v>
      </c>
      <c r="B97" s="10" t="s">
        <v>310</v>
      </c>
      <c r="C97" s="10" t="s">
        <v>80</v>
      </c>
      <c r="D97" s="42">
        <v>11</v>
      </c>
      <c r="E97" s="138">
        <v>8.1000000000000003E-2</v>
      </c>
      <c r="F97" s="42">
        <v>9.4499999999999993</v>
      </c>
      <c r="G97" s="43">
        <f t="shared" si="6"/>
        <v>12.018176470588234</v>
      </c>
      <c r="H97" s="44">
        <f t="shared" si="7"/>
        <v>12.5</v>
      </c>
      <c r="I97" s="43">
        <f t="shared" si="8"/>
        <v>9.8288621646623486</v>
      </c>
      <c r="J97" s="139">
        <v>0.5</v>
      </c>
      <c r="K97" s="139">
        <v>0</v>
      </c>
      <c r="L97" s="17" t="s">
        <v>287</v>
      </c>
    </row>
    <row r="98" spans="1:12" ht="15" customHeight="1" x14ac:dyDescent="0.75">
      <c r="A98" s="9">
        <v>90</v>
      </c>
      <c r="B98" s="10" t="s">
        <v>56</v>
      </c>
      <c r="C98" s="10" t="s">
        <v>30</v>
      </c>
      <c r="D98" s="21">
        <v>12.99</v>
      </c>
      <c r="E98" s="138">
        <v>0.21</v>
      </c>
      <c r="F98" s="21">
        <v>7.49</v>
      </c>
      <c r="G98" s="22">
        <f t="shared" si="6"/>
        <v>10.662235294117648</v>
      </c>
      <c r="H98" s="23">
        <f t="shared" si="7"/>
        <v>10.99</v>
      </c>
      <c r="I98" s="22">
        <f t="shared" si="8"/>
        <v>7.7202479338842984</v>
      </c>
      <c r="J98" s="139">
        <v>0.5</v>
      </c>
      <c r="K98" s="139">
        <v>0.01</v>
      </c>
      <c r="L98" s="17"/>
    </row>
    <row r="99" spans="1:12" ht="15" customHeight="1" x14ac:dyDescent="0.75">
      <c r="A99" s="9">
        <v>91</v>
      </c>
      <c r="B99" s="10" t="s">
        <v>57</v>
      </c>
      <c r="C99" s="10" t="s">
        <v>30</v>
      </c>
      <c r="D99" s="21">
        <v>11.99</v>
      </c>
      <c r="E99" s="138">
        <v>0.17</v>
      </c>
      <c r="F99" s="21">
        <v>9.99</v>
      </c>
      <c r="G99" s="22">
        <f t="shared" si="6"/>
        <v>13.750941176470588</v>
      </c>
      <c r="H99" s="23">
        <f t="shared" si="7"/>
        <v>13.99</v>
      </c>
      <c r="I99" s="22">
        <f t="shared" si="8"/>
        <v>10.163675213675214</v>
      </c>
      <c r="J99" s="139">
        <v>0.5</v>
      </c>
      <c r="K99" s="139">
        <v>0.01</v>
      </c>
      <c r="L99" s="17"/>
    </row>
    <row r="100" spans="1:12" ht="15" customHeight="1" x14ac:dyDescent="0.75">
      <c r="A100" s="9">
        <v>92</v>
      </c>
      <c r="B100" s="10" t="s">
        <v>311</v>
      </c>
      <c r="C100" s="10" t="s">
        <v>312</v>
      </c>
      <c r="D100" s="176">
        <v>96.88</v>
      </c>
      <c r="E100" s="138">
        <v>0</v>
      </c>
      <c r="F100" s="176">
        <v>92.88</v>
      </c>
      <c r="G100" s="177">
        <f t="shared" si="6"/>
        <v>109.27058823529411</v>
      </c>
      <c r="H100" s="178">
        <f t="shared" si="7"/>
        <v>109.88</v>
      </c>
      <c r="I100" s="177">
        <f t="shared" si="8"/>
        <v>93.397999999999996</v>
      </c>
      <c r="J100" s="139">
        <v>1</v>
      </c>
      <c r="K100" s="139">
        <v>0.12</v>
      </c>
      <c r="L100" s="17"/>
    </row>
    <row r="101" spans="1:12" ht="15" customHeight="1" x14ac:dyDescent="0.75">
      <c r="A101" s="9">
        <v>93</v>
      </c>
      <c r="B101" s="10" t="s">
        <v>235</v>
      </c>
      <c r="C101" s="10" t="s">
        <v>236</v>
      </c>
      <c r="D101" s="111">
        <v>52.99</v>
      </c>
      <c r="E101" s="138">
        <v>0.08</v>
      </c>
      <c r="F101" s="111">
        <v>34.5</v>
      </c>
      <c r="G101" s="112">
        <f t="shared" si="6"/>
        <v>43.835294117647059</v>
      </c>
      <c r="H101" s="113">
        <f t="shared" si="7"/>
        <v>43.99</v>
      </c>
      <c r="I101" s="112">
        <f t="shared" si="8"/>
        <v>34.621759259259257</v>
      </c>
      <c r="J101" s="139">
        <v>1</v>
      </c>
      <c r="K101" s="139">
        <v>0.01</v>
      </c>
      <c r="L101" s="17"/>
    </row>
    <row r="102" spans="1:12" ht="15" customHeight="1" x14ac:dyDescent="0.75">
      <c r="A102" s="9">
        <v>94</v>
      </c>
      <c r="B102" s="10" t="s">
        <v>237</v>
      </c>
      <c r="C102" s="10" t="s">
        <v>24</v>
      </c>
      <c r="D102" s="11">
        <v>11.99</v>
      </c>
      <c r="E102" s="138">
        <v>0</v>
      </c>
      <c r="F102" s="11">
        <v>6.49</v>
      </c>
      <c r="G102" s="13">
        <f t="shared" si="6"/>
        <v>7.6352941176470592</v>
      </c>
      <c r="H102" s="14">
        <f t="shared" si="7"/>
        <v>7.99</v>
      </c>
      <c r="I102" s="13">
        <f t="shared" si="8"/>
        <v>6.7915000000000001</v>
      </c>
      <c r="J102" s="139">
        <v>0.5</v>
      </c>
      <c r="K102" s="139">
        <v>0.01</v>
      </c>
      <c r="L102" s="17"/>
    </row>
    <row r="103" spans="1:12" ht="15" customHeight="1" x14ac:dyDescent="0.75">
      <c r="A103" s="9">
        <v>95</v>
      </c>
      <c r="B103" s="10" t="s">
        <v>134</v>
      </c>
      <c r="C103" s="10" t="s">
        <v>30</v>
      </c>
      <c r="D103" s="21">
        <v>10.53</v>
      </c>
      <c r="E103" s="138">
        <v>0</v>
      </c>
      <c r="F103" s="21">
        <v>1.49</v>
      </c>
      <c r="G103" s="22">
        <f t="shared" si="6"/>
        <v>1.7529411764705882</v>
      </c>
      <c r="H103" s="23">
        <f t="shared" si="7"/>
        <v>1.99</v>
      </c>
      <c r="I103" s="22">
        <f t="shared" si="8"/>
        <v>1.6915</v>
      </c>
      <c r="J103" s="139">
        <v>0.5</v>
      </c>
      <c r="K103" s="139">
        <v>0.01</v>
      </c>
      <c r="L103" s="17"/>
    </row>
    <row r="104" spans="1:12" ht="15" customHeight="1" x14ac:dyDescent="0.75">
      <c r="A104" s="9">
        <v>96</v>
      </c>
      <c r="B104" s="10" t="s">
        <v>58</v>
      </c>
      <c r="C104" s="10" t="s">
        <v>30</v>
      </c>
      <c r="D104" s="21">
        <v>12.43</v>
      </c>
      <c r="E104" s="138">
        <v>0.18</v>
      </c>
      <c r="F104" s="21">
        <v>7.49</v>
      </c>
      <c r="G104" s="22">
        <f t="shared" si="6"/>
        <v>10.397882352941176</v>
      </c>
      <c r="H104" s="23">
        <f t="shared" si="7"/>
        <v>10.49</v>
      </c>
      <c r="I104" s="22">
        <f t="shared" si="8"/>
        <v>7.5563559322033891</v>
      </c>
      <c r="J104" s="139">
        <v>0.5</v>
      </c>
      <c r="K104" s="139">
        <v>0.01</v>
      </c>
      <c r="L104" s="17"/>
    </row>
    <row r="105" spans="1:12" ht="15" customHeight="1" x14ac:dyDescent="0.75">
      <c r="A105" s="9">
        <v>97</v>
      </c>
      <c r="B105" s="10" t="s">
        <v>136</v>
      </c>
      <c r="C105" s="10" t="s">
        <v>24</v>
      </c>
      <c r="D105" s="11">
        <v>11.99</v>
      </c>
      <c r="E105" s="138">
        <v>0</v>
      </c>
      <c r="F105" s="11">
        <v>6.49</v>
      </c>
      <c r="G105" s="13">
        <f t="shared" ref="G105:G136" si="9">F105/(1-$D$4)*(1+E105)</f>
        <v>7.6352941176470592</v>
      </c>
      <c r="H105" s="14">
        <f t="shared" ref="H105:H136" si="10">CEILING(G105+K105,J105)-K105</f>
        <v>7.99</v>
      </c>
      <c r="I105" s="13">
        <f t="shared" ref="I105:I136" si="11">H105/(1+E105)*(1-$D$4)</f>
        <v>6.7915000000000001</v>
      </c>
      <c r="J105" s="139">
        <v>0.5</v>
      </c>
      <c r="K105" s="139">
        <v>0.01</v>
      </c>
      <c r="L105" s="17"/>
    </row>
    <row r="106" spans="1:12" ht="15" customHeight="1" x14ac:dyDescent="0.75">
      <c r="A106" s="9">
        <v>98</v>
      </c>
      <c r="B106" s="10" t="s">
        <v>194</v>
      </c>
      <c r="C106" s="10" t="s">
        <v>195</v>
      </c>
      <c r="D106" s="87">
        <v>245</v>
      </c>
      <c r="E106" s="138">
        <v>0.16</v>
      </c>
      <c r="F106" s="87">
        <v>113</v>
      </c>
      <c r="G106" s="88">
        <f t="shared" si="9"/>
        <v>154.21176470588233</v>
      </c>
      <c r="H106" s="89">
        <f t="shared" si="10"/>
        <v>155</v>
      </c>
      <c r="I106" s="88">
        <f t="shared" si="11"/>
        <v>113.57758620689654</v>
      </c>
      <c r="J106" s="139">
        <v>5</v>
      </c>
      <c r="K106" s="139">
        <v>0</v>
      </c>
      <c r="L106" s="17"/>
    </row>
    <row r="107" spans="1:12" ht="15" customHeight="1" x14ac:dyDescent="0.75">
      <c r="A107" s="9">
        <v>99</v>
      </c>
      <c r="B107" s="10" t="s">
        <v>238</v>
      </c>
      <c r="C107" s="10" t="s">
        <v>24</v>
      </c>
      <c r="D107" s="11">
        <v>11.99</v>
      </c>
      <c r="E107" s="138">
        <v>0</v>
      </c>
      <c r="F107" s="11">
        <v>2.4900000000000002</v>
      </c>
      <c r="G107" s="13">
        <f t="shared" si="9"/>
        <v>2.9294117647058826</v>
      </c>
      <c r="H107" s="14">
        <f t="shared" si="10"/>
        <v>2.99</v>
      </c>
      <c r="I107" s="13">
        <f t="shared" si="11"/>
        <v>2.5415000000000001</v>
      </c>
      <c r="J107" s="139">
        <v>0.5</v>
      </c>
      <c r="K107" s="139">
        <v>0.01</v>
      </c>
      <c r="L107" s="17"/>
    </row>
    <row r="108" spans="1:12" ht="15" customHeight="1" x14ac:dyDescent="0.75">
      <c r="A108" s="9">
        <v>100</v>
      </c>
      <c r="B108" s="10" t="s">
        <v>59</v>
      </c>
      <c r="C108" s="10" t="s">
        <v>24</v>
      </c>
      <c r="D108" s="11">
        <v>14.39</v>
      </c>
      <c r="E108" s="138">
        <v>0.2</v>
      </c>
      <c r="F108" s="11">
        <v>4.99</v>
      </c>
      <c r="G108" s="13">
        <f t="shared" si="9"/>
        <v>7.0447058823529414</v>
      </c>
      <c r="H108" s="14">
        <f t="shared" si="10"/>
        <v>7.49</v>
      </c>
      <c r="I108" s="13">
        <f t="shared" si="11"/>
        <v>5.3054166666666669</v>
      </c>
      <c r="J108" s="139">
        <v>0.5</v>
      </c>
      <c r="K108" s="139">
        <v>0.01</v>
      </c>
      <c r="L108" s="17"/>
    </row>
    <row r="109" spans="1:12" ht="15" customHeight="1" x14ac:dyDescent="0.75">
      <c r="A109" s="9">
        <v>101</v>
      </c>
      <c r="B109" s="10" t="s">
        <v>313</v>
      </c>
      <c r="C109" s="10" t="s">
        <v>30</v>
      </c>
      <c r="D109" s="21">
        <v>12.99</v>
      </c>
      <c r="E109" s="138">
        <v>0.2</v>
      </c>
      <c r="F109" s="21">
        <v>9.99</v>
      </c>
      <c r="G109" s="22">
        <f t="shared" si="9"/>
        <v>14.103529411764706</v>
      </c>
      <c r="H109" s="23">
        <f t="shared" si="10"/>
        <v>14.49</v>
      </c>
      <c r="I109" s="22">
        <f t="shared" si="11"/>
        <v>10.26375</v>
      </c>
      <c r="J109" s="139">
        <v>0.5</v>
      </c>
      <c r="K109" s="139">
        <v>0.01</v>
      </c>
      <c r="L109" s="17" t="s">
        <v>287</v>
      </c>
    </row>
    <row r="110" spans="1:12" ht="15" customHeight="1" x14ac:dyDescent="0.75">
      <c r="A110" s="9">
        <v>102</v>
      </c>
      <c r="B110" s="10" t="s">
        <v>239</v>
      </c>
      <c r="C110" s="10" t="s">
        <v>314</v>
      </c>
      <c r="D110" s="179">
        <v>43100</v>
      </c>
      <c r="E110" s="138">
        <v>0</v>
      </c>
      <c r="F110" s="179">
        <v>17160</v>
      </c>
      <c r="G110" s="180">
        <f t="shared" si="9"/>
        <v>20188.235294117647</v>
      </c>
      <c r="H110" s="181">
        <f t="shared" si="10"/>
        <v>20200</v>
      </c>
      <c r="I110" s="180">
        <f t="shared" si="11"/>
        <v>17170</v>
      </c>
      <c r="J110" s="139">
        <v>100</v>
      </c>
      <c r="K110" s="139">
        <v>0</v>
      </c>
      <c r="L110" s="17"/>
    </row>
    <row r="111" spans="1:12" ht="15" customHeight="1" x14ac:dyDescent="0.75">
      <c r="A111" s="9">
        <v>103</v>
      </c>
      <c r="B111" s="10" t="s">
        <v>137</v>
      </c>
      <c r="C111" s="10" t="s">
        <v>315</v>
      </c>
      <c r="D111" s="182">
        <v>139.99</v>
      </c>
      <c r="E111" s="138">
        <v>0.2</v>
      </c>
      <c r="F111" s="182">
        <v>34.49</v>
      </c>
      <c r="G111" s="183">
        <f t="shared" si="9"/>
        <v>48.691764705882356</v>
      </c>
      <c r="H111" s="184">
        <f t="shared" si="10"/>
        <v>48.99</v>
      </c>
      <c r="I111" s="183">
        <f t="shared" si="11"/>
        <v>34.701250000000002</v>
      </c>
      <c r="J111" s="139">
        <v>1</v>
      </c>
      <c r="K111" s="139">
        <v>0.01</v>
      </c>
      <c r="L111" s="17"/>
    </row>
    <row r="112" spans="1:12" ht="15" customHeight="1" x14ac:dyDescent="0.75">
      <c r="A112" s="9">
        <v>104</v>
      </c>
      <c r="B112" s="10" t="s">
        <v>139</v>
      </c>
      <c r="C112" s="10" t="s">
        <v>24</v>
      </c>
      <c r="D112" s="11">
        <v>11.99</v>
      </c>
      <c r="E112" s="138">
        <v>0</v>
      </c>
      <c r="F112" s="11">
        <v>1.49</v>
      </c>
      <c r="G112" s="13">
        <f t="shared" si="9"/>
        <v>1.7529411764705882</v>
      </c>
      <c r="H112" s="14">
        <f t="shared" si="10"/>
        <v>1.99</v>
      </c>
      <c r="I112" s="13">
        <f t="shared" si="11"/>
        <v>1.6915</v>
      </c>
      <c r="J112" s="139">
        <v>0.5</v>
      </c>
      <c r="K112" s="139">
        <v>0.01</v>
      </c>
      <c r="L112" s="17"/>
    </row>
    <row r="113" spans="1:12" ht="15" customHeight="1" x14ac:dyDescent="0.75">
      <c r="A113" s="9">
        <v>105</v>
      </c>
      <c r="B113" s="10" t="s">
        <v>316</v>
      </c>
      <c r="C113" s="10" t="s">
        <v>317</v>
      </c>
      <c r="D113" s="185">
        <v>25000</v>
      </c>
      <c r="E113" s="138">
        <v>0</v>
      </c>
      <c r="F113" s="185">
        <v>5500</v>
      </c>
      <c r="G113" s="186">
        <f t="shared" si="9"/>
        <v>6470.588235294118</v>
      </c>
      <c r="H113" s="187">
        <f t="shared" si="10"/>
        <v>6500</v>
      </c>
      <c r="I113" s="186">
        <f t="shared" si="11"/>
        <v>5525</v>
      </c>
      <c r="J113" s="139">
        <v>100</v>
      </c>
      <c r="K113" s="139">
        <v>0</v>
      </c>
      <c r="L113" s="17"/>
    </row>
    <row r="114" spans="1:12" ht="15" customHeight="1" x14ac:dyDescent="0.75">
      <c r="A114" s="9">
        <v>106</v>
      </c>
      <c r="B114" s="10" t="s">
        <v>140</v>
      </c>
      <c r="C114" s="10" t="s">
        <v>24</v>
      </c>
      <c r="D114" s="11">
        <v>11.99</v>
      </c>
      <c r="E114" s="138">
        <v>0</v>
      </c>
      <c r="F114" s="11">
        <v>3.49</v>
      </c>
      <c r="G114" s="13">
        <f t="shared" si="9"/>
        <v>4.105882352941177</v>
      </c>
      <c r="H114" s="14">
        <f t="shared" si="10"/>
        <v>4.49</v>
      </c>
      <c r="I114" s="13">
        <f t="shared" si="11"/>
        <v>3.8165</v>
      </c>
      <c r="J114" s="139">
        <v>0.5</v>
      </c>
      <c r="K114" s="139">
        <v>0.01</v>
      </c>
      <c r="L114" s="17"/>
    </row>
    <row r="115" spans="1:12" ht="15" customHeight="1" x14ac:dyDescent="0.75">
      <c r="A115" s="9">
        <v>107</v>
      </c>
      <c r="B115" s="10" t="s">
        <v>244</v>
      </c>
      <c r="C115" s="10" t="s">
        <v>24</v>
      </c>
      <c r="D115" s="11">
        <v>13.55</v>
      </c>
      <c r="E115" s="138">
        <v>0.13</v>
      </c>
      <c r="F115" s="11">
        <v>2.4900000000000002</v>
      </c>
      <c r="G115" s="13">
        <f t="shared" si="9"/>
        <v>3.3102352941176472</v>
      </c>
      <c r="H115" s="14">
        <f t="shared" si="10"/>
        <v>3.49</v>
      </c>
      <c r="I115" s="13">
        <f t="shared" si="11"/>
        <v>2.6252212389380536</v>
      </c>
      <c r="J115" s="139">
        <v>0.5</v>
      </c>
      <c r="K115" s="139">
        <v>0.01</v>
      </c>
      <c r="L115" s="17"/>
    </row>
    <row r="116" spans="1:12" ht="15" customHeight="1" x14ac:dyDescent="0.75">
      <c r="A116" s="9">
        <v>108</v>
      </c>
      <c r="B116" s="10" t="s">
        <v>61</v>
      </c>
      <c r="C116" s="10" t="s">
        <v>30</v>
      </c>
      <c r="D116" s="21">
        <v>12.99</v>
      </c>
      <c r="E116" s="138">
        <v>0.21</v>
      </c>
      <c r="F116" s="21">
        <v>8.99</v>
      </c>
      <c r="G116" s="22">
        <f t="shared" si="9"/>
        <v>12.797529411764705</v>
      </c>
      <c r="H116" s="23">
        <f t="shared" si="10"/>
        <v>12.99</v>
      </c>
      <c r="I116" s="22">
        <f t="shared" si="11"/>
        <v>9.125206611570249</v>
      </c>
      <c r="J116" s="139">
        <v>0.5</v>
      </c>
      <c r="K116" s="139">
        <v>0.01</v>
      </c>
      <c r="L116" s="17"/>
    </row>
    <row r="117" spans="1:12" ht="15" customHeight="1" x14ac:dyDescent="0.75">
      <c r="A117" s="9">
        <v>109</v>
      </c>
      <c r="B117" s="10" t="s">
        <v>245</v>
      </c>
      <c r="C117" s="10" t="s">
        <v>246</v>
      </c>
      <c r="D117" s="114">
        <v>23.99</v>
      </c>
      <c r="E117" s="138">
        <v>0.15</v>
      </c>
      <c r="F117" s="114">
        <v>11.49</v>
      </c>
      <c r="G117" s="115">
        <f t="shared" si="9"/>
        <v>15.545294117647057</v>
      </c>
      <c r="H117" s="116">
        <f t="shared" si="10"/>
        <v>15.99</v>
      </c>
      <c r="I117" s="115">
        <f t="shared" si="11"/>
        <v>11.818695652173915</v>
      </c>
      <c r="J117" s="139">
        <v>0.5</v>
      </c>
      <c r="K117" s="139">
        <v>0.01</v>
      </c>
      <c r="L117" s="17"/>
    </row>
    <row r="118" spans="1:12" ht="15" customHeight="1" x14ac:dyDescent="0.75">
      <c r="A118" s="9">
        <v>110</v>
      </c>
      <c r="B118" s="10" t="s">
        <v>197</v>
      </c>
      <c r="C118" s="10" t="s">
        <v>24</v>
      </c>
      <c r="D118" s="11">
        <v>11.99</v>
      </c>
      <c r="E118" s="138">
        <v>0</v>
      </c>
      <c r="F118" s="11">
        <v>3.49</v>
      </c>
      <c r="G118" s="13">
        <f t="shared" si="9"/>
        <v>4.105882352941177</v>
      </c>
      <c r="H118" s="14">
        <f t="shared" si="10"/>
        <v>4.49</v>
      </c>
      <c r="I118" s="13">
        <f t="shared" si="11"/>
        <v>3.8165</v>
      </c>
      <c r="J118" s="139">
        <v>0.5</v>
      </c>
      <c r="K118" s="139">
        <v>0.01</v>
      </c>
      <c r="L118" s="17"/>
    </row>
    <row r="119" spans="1:12" ht="15" customHeight="1" x14ac:dyDescent="0.75">
      <c r="A119" s="9">
        <v>111</v>
      </c>
      <c r="B119" s="10" t="s">
        <v>141</v>
      </c>
      <c r="C119" s="10" t="s">
        <v>30</v>
      </c>
      <c r="D119" s="21">
        <v>10.53</v>
      </c>
      <c r="E119" s="138">
        <v>0</v>
      </c>
      <c r="F119" s="21">
        <v>1.49</v>
      </c>
      <c r="G119" s="22">
        <f t="shared" si="9"/>
        <v>1.7529411764705882</v>
      </c>
      <c r="H119" s="23">
        <f t="shared" si="10"/>
        <v>1.99</v>
      </c>
      <c r="I119" s="22">
        <f t="shared" si="11"/>
        <v>1.6915</v>
      </c>
      <c r="J119" s="139">
        <v>0.5</v>
      </c>
      <c r="K119" s="139">
        <v>0.01</v>
      </c>
      <c r="L119" s="17"/>
    </row>
    <row r="120" spans="1:12" ht="15" customHeight="1" x14ac:dyDescent="0.75">
      <c r="A120" s="9">
        <v>112</v>
      </c>
      <c r="B120" s="10" t="s">
        <v>142</v>
      </c>
      <c r="C120" s="10" t="s">
        <v>143</v>
      </c>
      <c r="D120" s="60">
        <v>17000</v>
      </c>
      <c r="E120" s="138">
        <v>7.4999999999999997E-2</v>
      </c>
      <c r="F120" s="60">
        <v>4800</v>
      </c>
      <c r="G120" s="61">
        <f t="shared" si="9"/>
        <v>6070.5882352941171</v>
      </c>
      <c r="H120" s="62">
        <f t="shared" si="10"/>
        <v>6100</v>
      </c>
      <c r="I120" s="61">
        <f t="shared" si="11"/>
        <v>4823.2558139534885</v>
      </c>
      <c r="J120" s="139">
        <v>100</v>
      </c>
      <c r="K120" s="139">
        <v>0</v>
      </c>
      <c r="L120" s="17"/>
    </row>
    <row r="121" spans="1:12" ht="15" customHeight="1" x14ac:dyDescent="0.75">
      <c r="A121" s="9">
        <v>113</v>
      </c>
      <c r="B121" s="10" t="s">
        <v>62</v>
      </c>
      <c r="C121" s="10" t="s">
        <v>24</v>
      </c>
      <c r="D121" s="11">
        <v>14.15</v>
      </c>
      <c r="E121" s="138">
        <v>0.18</v>
      </c>
      <c r="F121" s="11">
        <v>6.49</v>
      </c>
      <c r="G121" s="13">
        <f t="shared" si="9"/>
        <v>9.0096470588235302</v>
      </c>
      <c r="H121" s="14">
        <f t="shared" si="10"/>
        <v>9.49</v>
      </c>
      <c r="I121" s="13">
        <f t="shared" si="11"/>
        <v>6.8360169491525422</v>
      </c>
      <c r="J121" s="139">
        <v>0.5</v>
      </c>
      <c r="K121" s="139">
        <v>0.01</v>
      </c>
      <c r="L121" s="17"/>
    </row>
    <row r="122" spans="1:12" ht="15" customHeight="1" x14ac:dyDescent="0.75">
      <c r="A122" s="9">
        <v>114</v>
      </c>
      <c r="B122" s="10" t="s">
        <v>63</v>
      </c>
      <c r="C122" s="10" t="s">
        <v>64</v>
      </c>
      <c r="D122" s="27">
        <v>145</v>
      </c>
      <c r="E122" s="138">
        <v>0.25</v>
      </c>
      <c r="F122" s="27">
        <v>109</v>
      </c>
      <c r="G122" s="28">
        <f t="shared" si="9"/>
        <v>160.29411764705884</v>
      </c>
      <c r="H122" s="29">
        <f t="shared" si="10"/>
        <v>165</v>
      </c>
      <c r="I122" s="28">
        <f t="shared" si="11"/>
        <v>112.2</v>
      </c>
      <c r="J122" s="139">
        <v>10</v>
      </c>
      <c r="K122" s="139">
        <v>5</v>
      </c>
      <c r="L122" s="17"/>
    </row>
    <row r="123" spans="1:12" ht="15" customHeight="1" x14ac:dyDescent="0.75">
      <c r="A123" s="9">
        <v>115</v>
      </c>
      <c r="B123" s="10" t="s">
        <v>144</v>
      </c>
      <c r="C123" s="10" t="s">
        <v>24</v>
      </c>
      <c r="D123" s="11">
        <v>12.99</v>
      </c>
      <c r="E123" s="138">
        <v>0.05</v>
      </c>
      <c r="F123" s="11">
        <v>8.49</v>
      </c>
      <c r="G123" s="13">
        <f t="shared" si="9"/>
        <v>10.48764705882353</v>
      </c>
      <c r="H123" s="14">
        <f t="shared" si="10"/>
        <v>10.49</v>
      </c>
      <c r="I123" s="13">
        <f t="shared" si="11"/>
        <v>8.4919047619047614</v>
      </c>
      <c r="J123" s="139">
        <v>0.5</v>
      </c>
      <c r="K123" s="139">
        <v>0.01</v>
      </c>
      <c r="L123" s="17"/>
    </row>
    <row r="124" spans="1:12" ht="15" customHeight="1" x14ac:dyDescent="0.75">
      <c r="A124" s="9">
        <v>116</v>
      </c>
      <c r="B124" s="10" t="s">
        <v>247</v>
      </c>
      <c r="C124" s="10" t="s">
        <v>248</v>
      </c>
      <c r="D124" s="117">
        <v>3300</v>
      </c>
      <c r="E124" s="138">
        <v>0</v>
      </c>
      <c r="F124" s="117">
        <v>720</v>
      </c>
      <c r="G124" s="118">
        <f t="shared" si="9"/>
        <v>847.05882352941182</v>
      </c>
      <c r="H124" s="119">
        <f t="shared" si="10"/>
        <v>850</v>
      </c>
      <c r="I124" s="118">
        <f t="shared" si="11"/>
        <v>722.5</v>
      </c>
      <c r="J124" s="139">
        <v>10</v>
      </c>
      <c r="K124" s="139">
        <v>0</v>
      </c>
      <c r="L124" s="17"/>
    </row>
    <row r="125" spans="1:12" ht="15" customHeight="1" x14ac:dyDescent="0.75">
      <c r="A125" s="9">
        <v>117</v>
      </c>
      <c r="B125" s="10" t="s">
        <v>198</v>
      </c>
      <c r="C125" s="10" t="s">
        <v>24</v>
      </c>
      <c r="D125" s="11">
        <v>11.99</v>
      </c>
      <c r="E125" s="138">
        <v>0</v>
      </c>
      <c r="F125" s="11">
        <v>8.49</v>
      </c>
      <c r="G125" s="13">
        <f t="shared" si="9"/>
        <v>9.9882352941176471</v>
      </c>
      <c r="H125" s="14">
        <f t="shared" si="10"/>
        <v>9.99</v>
      </c>
      <c r="I125" s="13">
        <f t="shared" si="11"/>
        <v>8.4915000000000003</v>
      </c>
      <c r="J125" s="139">
        <v>0.5</v>
      </c>
      <c r="K125" s="139">
        <v>0.01</v>
      </c>
      <c r="L125" s="17"/>
    </row>
    <row r="126" spans="1:12" ht="15" customHeight="1" x14ac:dyDescent="0.75">
      <c r="A126" s="9">
        <v>118</v>
      </c>
      <c r="B126" s="10" t="s">
        <v>250</v>
      </c>
      <c r="C126" s="10" t="s">
        <v>24</v>
      </c>
      <c r="D126" s="11">
        <v>11.99</v>
      </c>
      <c r="E126" s="138">
        <v>0</v>
      </c>
      <c r="F126" s="11">
        <v>2.4900000000000002</v>
      </c>
      <c r="G126" s="13">
        <f t="shared" si="9"/>
        <v>2.9294117647058826</v>
      </c>
      <c r="H126" s="14">
        <f t="shared" si="10"/>
        <v>2.99</v>
      </c>
      <c r="I126" s="13">
        <f t="shared" si="11"/>
        <v>2.5415000000000001</v>
      </c>
      <c r="J126" s="139">
        <v>0.5</v>
      </c>
      <c r="K126" s="139">
        <v>0.01</v>
      </c>
      <c r="L126" s="17"/>
    </row>
    <row r="127" spans="1:12" ht="15" customHeight="1" x14ac:dyDescent="0.75">
      <c r="A127" s="9">
        <v>119</v>
      </c>
      <c r="B127" s="10" t="s">
        <v>199</v>
      </c>
      <c r="C127" s="10" t="s">
        <v>318</v>
      </c>
      <c r="D127" s="188">
        <v>70000</v>
      </c>
      <c r="E127" s="138">
        <v>0</v>
      </c>
      <c r="F127" s="188">
        <v>28500</v>
      </c>
      <c r="G127" s="189">
        <f t="shared" si="9"/>
        <v>33529.411764705881</v>
      </c>
      <c r="H127" s="190">
        <f t="shared" si="10"/>
        <v>34000</v>
      </c>
      <c r="I127" s="189">
        <f t="shared" si="11"/>
        <v>28900</v>
      </c>
      <c r="J127" s="139">
        <v>1000</v>
      </c>
      <c r="K127" s="139">
        <v>0</v>
      </c>
      <c r="L127" s="17"/>
    </row>
    <row r="128" spans="1:12" ht="15" customHeight="1" x14ac:dyDescent="0.75">
      <c r="A128" s="9">
        <v>120</v>
      </c>
      <c r="B128" s="10" t="s">
        <v>201</v>
      </c>
      <c r="C128" s="10" t="s">
        <v>202</v>
      </c>
      <c r="D128" s="90">
        <v>40.99</v>
      </c>
      <c r="E128" s="138">
        <v>0</v>
      </c>
      <c r="F128" s="90">
        <v>16.5</v>
      </c>
      <c r="G128" s="91">
        <f t="shared" si="9"/>
        <v>19.411764705882355</v>
      </c>
      <c r="H128" s="92">
        <f t="shared" si="10"/>
        <v>19.989999999999998</v>
      </c>
      <c r="I128" s="91">
        <f t="shared" si="11"/>
        <v>16.991499999999998</v>
      </c>
      <c r="J128" s="139">
        <v>1</v>
      </c>
      <c r="K128" s="139">
        <v>0.01</v>
      </c>
      <c r="L128" s="17"/>
    </row>
    <row r="129" spans="1:12" ht="15" customHeight="1" x14ac:dyDescent="0.75">
      <c r="A129" s="9">
        <v>121</v>
      </c>
      <c r="B129" s="10" t="s">
        <v>251</v>
      </c>
      <c r="C129" s="10" t="s">
        <v>252</v>
      </c>
      <c r="D129" s="120">
        <v>839</v>
      </c>
      <c r="E129" s="138">
        <v>0.12</v>
      </c>
      <c r="F129" s="120">
        <v>300</v>
      </c>
      <c r="G129" s="121">
        <f t="shared" si="9"/>
        <v>395.29411764705884</v>
      </c>
      <c r="H129" s="122">
        <f t="shared" si="10"/>
        <v>399</v>
      </c>
      <c r="I129" s="121">
        <f t="shared" si="11"/>
        <v>302.81249999999994</v>
      </c>
      <c r="J129" s="139">
        <v>10</v>
      </c>
      <c r="K129" s="139">
        <v>1</v>
      </c>
      <c r="L129" s="17"/>
    </row>
    <row r="130" spans="1:12" ht="15" customHeight="1" x14ac:dyDescent="0.75">
      <c r="A130" s="9">
        <v>122</v>
      </c>
      <c r="B130" s="10" t="s">
        <v>65</v>
      </c>
      <c r="C130" s="10" t="s">
        <v>66</v>
      </c>
      <c r="D130" s="33">
        <v>56.99</v>
      </c>
      <c r="E130" s="138">
        <v>0.23</v>
      </c>
      <c r="F130" s="33">
        <v>24.49</v>
      </c>
      <c r="G130" s="34">
        <f t="shared" si="9"/>
        <v>35.438470588235297</v>
      </c>
      <c r="H130" s="35">
        <f t="shared" si="10"/>
        <v>35.99</v>
      </c>
      <c r="I130" s="34">
        <f t="shared" si="11"/>
        <v>24.871138211382114</v>
      </c>
      <c r="J130" s="139">
        <v>1</v>
      </c>
      <c r="K130" s="139">
        <v>0.01</v>
      </c>
      <c r="L130" s="17"/>
    </row>
    <row r="131" spans="1:12" ht="15" customHeight="1" x14ac:dyDescent="0.75">
      <c r="A131" s="9">
        <v>123</v>
      </c>
      <c r="B131" s="10" t="s">
        <v>67</v>
      </c>
      <c r="C131" s="10" t="s">
        <v>30</v>
      </c>
      <c r="D131" s="21">
        <v>12.99</v>
      </c>
      <c r="E131" s="138">
        <v>0.23</v>
      </c>
      <c r="F131" s="21">
        <v>5.49</v>
      </c>
      <c r="G131" s="22">
        <f t="shared" si="9"/>
        <v>7.9443529411764704</v>
      </c>
      <c r="H131" s="23">
        <f t="shared" si="10"/>
        <v>7.99</v>
      </c>
      <c r="I131" s="22">
        <f t="shared" si="11"/>
        <v>5.5215447154471544</v>
      </c>
      <c r="J131" s="139">
        <v>0.5</v>
      </c>
      <c r="K131" s="139">
        <v>0.01</v>
      </c>
      <c r="L131" s="17"/>
    </row>
    <row r="132" spans="1:12" ht="15" customHeight="1" x14ac:dyDescent="0.75">
      <c r="A132" s="9">
        <v>124</v>
      </c>
      <c r="B132" s="10" t="s">
        <v>145</v>
      </c>
      <c r="C132" s="10" t="s">
        <v>146</v>
      </c>
      <c r="D132" s="63">
        <v>44</v>
      </c>
      <c r="E132" s="138">
        <v>0</v>
      </c>
      <c r="F132" s="63">
        <v>42</v>
      </c>
      <c r="G132" s="64">
        <f t="shared" si="9"/>
        <v>49.411764705882355</v>
      </c>
      <c r="H132" s="65">
        <f t="shared" si="10"/>
        <v>50</v>
      </c>
      <c r="I132" s="64">
        <f t="shared" si="11"/>
        <v>42.5</v>
      </c>
      <c r="J132" s="139">
        <v>1</v>
      </c>
      <c r="K132" s="139">
        <v>0</v>
      </c>
      <c r="L132" s="17"/>
    </row>
    <row r="133" spans="1:12" ht="15" customHeight="1" x14ac:dyDescent="0.75">
      <c r="A133" s="9">
        <v>125</v>
      </c>
      <c r="B133" s="10" t="s">
        <v>68</v>
      </c>
      <c r="C133" s="10" t="s">
        <v>69</v>
      </c>
      <c r="D133" s="36">
        <v>64.989999999999995</v>
      </c>
      <c r="E133" s="138">
        <v>0.21</v>
      </c>
      <c r="F133" s="36">
        <v>29.49</v>
      </c>
      <c r="G133" s="37">
        <f t="shared" si="9"/>
        <v>41.979882352941175</v>
      </c>
      <c r="H133" s="38">
        <f t="shared" si="10"/>
        <v>41.99</v>
      </c>
      <c r="I133" s="37">
        <f t="shared" si="11"/>
        <v>29.497107438016531</v>
      </c>
      <c r="J133" s="139">
        <v>1</v>
      </c>
      <c r="K133" s="139">
        <v>0.01</v>
      </c>
      <c r="L133" s="17"/>
    </row>
    <row r="134" spans="1:12" ht="15" customHeight="1" x14ac:dyDescent="0.75">
      <c r="A134" s="9">
        <v>126</v>
      </c>
      <c r="B134" s="10" t="s">
        <v>70</v>
      </c>
      <c r="C134" s="10" t="s">
        <v>71</v>
      </c>
      <c r="D134" s="39">
        <v>999</v>
      </c>
      <c r="E134" s="138">
        <v>0</v>
      </c>
      <c r="F134" s="39">
        <v>539</v>
      </c>
      <c r="G134" s="40">
        <f t="shared" si="9"/>
        <v>634.11764705882354</v>
      </c>
      <c r="H134" s="41">
        <f t="shared" si="10"/>
        <v>639</v>
      </c>
      <c r="I134" s="40">
        <f t="shared" si="11"/>
        <v>543.15</v>
      </c>
      <c r="J134" s="139">
        <v>10</v>
      </c>
      <c r="K134" s="139">
        <v>1</v>
      </c>
      <c r="L134" s="17"/>
    </row>
    <row r="135" spans="1:12" ht="15" customHeight="1" x14ac:dyDescent="0.75">
      <c r="A135" s="9">
        <v>127</v>
      </c>
      <c r="B135" s="10" t="s">
        <v>147</v>
      </c>
      <c r="C135" s="10" t="s">
        <v>24</v>
      </c>
      <c r="D135" s="11">
        <v>11.99</v>
      </c>
      <c r="E135" s="138">
        <v>0</v>
      </c>
      <c r="F135" s="11">
        <v>2.4900000000000002</v>
      </c>
      <c r="G135" s="13">
        <f t="shared" si="9"/>
        <v>2.9294117647058826</v>
      </c>
      <c r="H135" s="14">
        <f t="shared" si="10"/>
        <v>2.99</v>
      </c>
      <c r="I135" s="13">
        <f t="shared" si="11"/>
        <v>2.5415000000000001</v>
      </c>
      <c r="J135" s="139">
        <v>0.5</v>
      </c>
      <c r="K135" s="139">
        <v>0.01</v>
      </c>
      <c r="L135" s="17"/>
    </row>
    <row r="136" spans="1:12" ht="15" customHeight="1" x14ac:dyDescent="0.75">
      <c r="A136" s="9">
        <v>128</v>
      </c>
      <c r="B136" s="10" t="s">
        <v>319</v>
      </c>
      <c r="C136" s="10" t="s">
        <v>24</v>
      </c>
      <c r="D136" s="11">
        <v>11.99</v>
      </c>
      <c r="E136" s="138">
        <v>0</v>
      </c>
      <c r="F136" s="11">
        <v>3.49</v>
      </c>
      <c r="G136" s="13">
        <f t="shared" si="9"/>
        <v>4.105882352941177</v>
      </c>
      <c r="H136" s="14">
        <f t="shared" si="10"/>
        <v>4.49</v>
      </c>
      <c r="I136" s="13">
        <f t="shared" si="11"/>
        <v>3.8165</v>
      </c>
      <c r="J136" s="139">
        <v>0.5</v>
      </c>
      <c r="K136" s="139">
        <v>0.01</v>
      </c>
      <c r="L136" s="17" t="s">
        <v>287</v>
      </c>
    </row>
    <row r="137" spans="1:12" ht="15" customHeight="1" x14ac:dyDescent="0.75">
      <c r="A137" s="9">
        <v>129</v>
      </c>
      <c r="B137" s="10" t="s">
        <v>320</v>
      </c>
      <c r="C137" s="10" t="s">
        <v>30</v>
      </c>
      <c r="D137" s="21">
        <v>10.99</v>
      </c>
      <c r="E137" s="138">
        <v>0</v>
      </c>
      <c r="F137" s="21">
        <v>8.99</v>
      </c>
      <c r="G137" s="22">
        <f t="shared" ref="G137:G168" si="12">F137/(1-$D$4)*(1+E137)</f>
        <v>10.576470588235294</v>
      </c>
      <c r="H137" s="23">
        <f t="shared" ref="H137:H168" si="13">CEILING(G137+K137,J137)-K137</f>
        <v>10.99</v>
      </c>
      <c r="I137" s="22">
        <f t="shared" ref="I137:I168" si="14">H137/(1+E137)*(1-$D$4)</f>
        <v>9.3414999999999999</v>
      </c>
      <c r="J137" s="139">
        <v>0.5</v>
      </c>
      <c r="K137" s="139">
        <v>0.01</v>
      </c>
      <c r="L137" s="17" t="s">
        <v>287</v>
      </c>
    </row>
    <row r="138" spans="1:12" ht="15" customHeight="1" x14ac:dyDescent="0.75">
      <c r="A138" s="9">
        <v>130</v>
      </c>
      <c r="B138" s="10" t="s">
        <v>149</v>
      </c>
      <c r="C138" s="10" t="s">
        <v>150</v>
      </c>
      <c r="D138" s="66">
        <v>51.99</v>
      </c>
      <c r="E138" s="138">
        <v>0.15</v>
      </c>
      <c r="F138" s="66">
        <v>37.49</v>
      </c>
      <c r="G138" s="67">
        <f t="shared" si="12"/>
        <v>50.72176470588235</v>
      </c>
      <c r="H138" s="68">
        <f t="shared" si="13"/>
        <v>50.99</v>
      </c>
      <c r="I138" s="67">
        <f t="shared" si="14"/>
        <v>37.688260869565219</v>
      </c>
      <c r="J138" s="139">
        <v>1</v>
      </c>
      <c r="K138" s="139">
        <v>0.01</v>
      </c>
      <c r="L138" s="17"/>
    </row>
    <row r="139" spans="1:12" ht="15" customHeight="1" x14ac:dyDescent="0.75">
      <c r="A139" s="9">
        <v>131</v>
      </c>
      <c r="B139" s="10" t="s">
        <v>151</v>
      </c>
      <c r="C139" s="10" t="s">
        <v>299</v>
      </c>
      <c r="D139" s="155">
        <v>8100</v>
      </c>
      <c r="E139" s="138">
        <v>0.18</v>
      </c>
      <c r="F139" s="155">
        <v>1500</v>
      </c>
      <c r="G139" s="156">
        <f t="shared" si="12"/>
        <v>2082.3529411764707</v>
      </c>
      <c r="H139" s="157">
        <f t="shared" si="13"/>
        <v>2100</v>
      </c>
      <c r="I139" s="156">
        <f t="shared" si="14"/>
        <v>1512.7118644067796</v>
      </c>
      <c r="J139" s="139">
        <v>100</v>
      </c>
      <c r="K139" s="139">
        <v>0</v>
      </c>
      <c r="L139" s="17"/>
    </row>
    <row r="140" spans="1:12" ht="15" customHeight="1" x14ac:dyDescent="0.75">
      <c r="A140" s="9">
        <v>132</v>
      </c>
      <c r="B140" s="10" t="s">
        <v>72</v>
      </c>
      <c r="C140" s="10" t="s">
        <v>321</v>
      </c>
      <c r="D140" s="191">
        <v>1499</v>
      </c>
      <c r="E140" s="138">
        <v>0.2</v>
      </c>
      <c r="F140" s="191">
        <v>659</v>
      </c>
      <c r="G140" s="192">
        <f t="shared" si="12"/>
        <v>930.35294117647061</v>
      </c>
      <c r="H140" s="193">
        <f t="shared" si="13"/>
        <v>939</v>
      </c>
      <c r="I140" s="192">
        <f t="shared" si="14"/>
        <v>665.125</v>
      </c>
      <c r="J140" s="139">
        <v>10</v>
      </c>
      <c r="K140" s="139">
        <v>1</v>
      </c>
      <c r="L140" s="17"/>
    </row>
    <row r="141" spans="1:12" ht="15" customHeight="1" x14ac:dyDescent="0.75">
      <c r="A141" s="9">
        <v>133</v>
      </c>
      <c r="B141" s="10" t="s">
        <v>152</v>
      </c>
      <c r="C141" s="10" t="s">
        <v>24</v>
      </c>
      <c r="D141" s="11">
        <v>11.99</v>
      </c>
      <c r="E141" s="138">
        <v>0</v>
      </c>
      <c r="F141" s="11">
        <v>6.49</v>
      </c>
      <c r="G141" s="13">
        <f t="shared" si="12"/>
        <v>7.6352941176470592</v>
      </c>
      <c r="H141" s="14">
        <f t="shared" si="13"/>
        <v>7.99</v>
      </c>
      <c r="I141" s="13">
        <f t="shared" si="14"/>
        <v>6.7915000000000001</v>
      </c>
      <c r="J141" s="139">
        <v>0.5</v>
      </c>
      <c r="K141" s="139">
        <v>0.01</v>
      </c>
      <c r="L141" s="17"/>
    </row>
    <row r="142" spans="1:12" ht="15" customHeight="1" x14ac:dyDescent="0.75">
      <c r="A142" s="9">
        <v>134</v>
      </c>
      <c r="B142" s="10" t="s">
        <v>153</v>
      </c>
      <c r="C142" s="10" t="s">
        <v>24</v>
      </c>
      <c r="D142" s="11">
        <v>11.99</v>
      </c>
      <c r="E142" s="138">
        <v>0</v>
      </c>
      <c r="F142" s="11">
        <v>1.49</v>
      </c>
      <c r="G142" s="13">
        <f t="shared" si="12"/>
        <v>1.7529411764705882</v>
      </c>
      <c r="H142" s="14">
        <f t="shared" si="13"/>
        <v>1.99</v>
      </c>
      <c r="I142" s="13">
        <f t="shared" si="14"/>
        <v>1.6915</v>
      </c>
      <c r="J142" s="139">
        <v>0.5</v>
      </c>
      <c r="K142" s="139">
        <v>0.01</v>
      </c>
      <c r="L142" s="17"/>
    </row>
    <row r="143" spans="1:12" ht="15" customHeight="1" x14ac:dyDescent="0.75">
      <c r="A143" s="9">
        <v>135</v>
      </c>
      <c r="B143" s="10" t="s">
        <v>253</v>
      </c>
      <c r="C143" s="10" t="s">
        <v>254</v>
      </c>
      <c r="D143" s="123">
        <v>16.98</v>
      </c>
      <c r="E143" s="138">
        <v>0.09</v>
      </c>
      <c r="F143" s="123">
        <v>14.98</v>
      </c>
      <c r="G143" s="124">
        <f t="shared" si="12"/>
        <v>19.209647058823531</v>
      </c>
      <c r="H143" s="125">
        <f t="shared" si="13"/>
        <v>19.48</v>
      </c>
      <c r="I143" s="124">
        <f t="shared" si="14"/>
        <v>15.190825688073394</v>
      </c>
      <c r="J143" s="139">
        <v>0.5</v>
      </c>
      <c r="K143" s="139">
        <v>0.02</v>
      </c>
      <c r="L143" s="17"/>
    </row>
    <row r="144" spans="1:12" ht="15" customHeight="1" x14ac:dyDescent="0.75">
      <c r="A144" s="9">
        <v>136</v>
      </c>
      <c r="B144" s="10" t="s">
        <v>74</v>
      </c>
      <c r="C144" s="10" t="s">
        <v>30</v>
      </c>
      <c r="D144" s="21">
        <v>12.99</v>
      </c>
      <c r="E144" s="138">
        <v>0.23</v>
      </c>
      <c r="F144" s="21">
        <v>5.49</v>
      </c>
      <c r="G144" s="22">
        <f t="shared" si="12"/>
        <v>7.9443529411764704</v>
      </c>
      <c r="H144" s="23">
        <f t="shared" si="13"/>
        <v>7.99</v>
      </c>
      <c r="I144" s="22">
        <f t="shared" si="14"/>
        <v>5.5215447154471544</v>
      </c>
      <c r="J144" s="139">
        <v>0.5</v>
      </c>
      <c r="K144" s="139">
        <v>0.01</v>
      </c>
      <c r="L144" s="17"/>
    </row>
    <row r="145" spans="1:12" ht="15" customHeight="1" x14ac:dyDescent="0.75">
      <c r="A145" s="9">
        <v>137</v>
      </c>
      <c r="B145" s="10" t="s">
        <v>75</v>
      </c>
      <c r="C145" s="10" t="s">
        <v>30</v>
      </c>
      <c r="D145" s="21">
        <v>12.99</v>
      </c>
      <c r="E145" s="138">
        <v>0.22</v>
      </c>
      <c r="F145" s="21">
        <v>7.49</v>
      </c>
      <c r="G145" s="22">
        <f t="shared" si="12"/>
        <v>10.750352941176471</v>
      </c>
      <c r="H145" s="23">
        <f t="shared" si="13"/>
        <v>10.99</v>
      </c>
      <c r="I145" s="22">
        <f t="shared" si="14"/>
        <v>7.6569672131147541</v>
      </c>
      <c r="J145" s="139">
        <v>0.5</v>
      </c>
      <c r="K145" s="139">
        <v>0.01</v>
      </c>
      <c r="L145" s="17"/>
    </row>
    <row r="146" spans="1:12" ht="15" customHeight="1" x14ac:dyDescent="0.75">
      <c r="A146" s="9">
        <v>138</v>
      </c>
      <c r="B146" s="10" t="s">
        <v>255</v>
      </c>
      <c r="C146" s="10" t="s">
        <v>24</v>
      </c>
      <c r="D146" s="11">
        <v>11.99</v>
      </c>
      <c r="E146" s="138">
        <v>0</v>
      </c>
      <c r="F146" s="11">
        <v>1.49</v>
      </c>
      <c r="G146" s="13">
        <f t="shared" si="12"/>
        <v>1.7529411764705882</v>
      </c>
      <c r="H146" s="14">
        <f t="shared" si="13"/>
        <v>1.99</v>
      </c>
      <c r="I146" s="13">
        <f t="shared" si="14"/>
        <v>1.6915</v>
      </c>
      <c r="J146" s="139">
        <v>0.5</v>
      </c>
      <c r="K146" s="139">
        <v>0.01</v>
      </c>
      <c r="L146" s="17"/>
    </row>
    <row r="147" spans="1:12" ht="15" customHeight="1" x14ac:dyDescent="0.75">
      <c r="A147" s="9">
        <v>139</v>
      </c>
      <c r="B147" s="10" t="s">
        <v>322</v>
      </c>
      <c r="C147" s="10" t="s">
        <v>24</v>
      </c>
      <c r="D147" s="11">
        <v>11.99</v>
      </c>
      <c r="E147" s="138">
        <v>0</v>
      </c>
      <c r="F147" s="11">
        <v>1.49</v>
      </c>
      <c r="G147" s="13">
        <f t="shared" si="12"/>
        <v>1.7529411764705882</v>
      </c>
      <c r="H147" s="14">
        <f t="shared" si="13"/>
        <v>1.99</v>
      </c>
      <c r="I147" s="13">
        <f t="shared" si="14"/>
        <v>1.6915</v>
      </c>
      <c r="J147" s="139">
        <v>0.5</v>
      </c>
      <c r="K147" s="139">
        <v>0.01</v>
      </c>
      <c r="L147" s="17" t="s">
        <v>287</v>
      </c>
    </row>
    <row r="148" spans="1:12" ht="15" customHeight="1" x14ac:dyDescent="0.75">
      <c r="A148" s="9">
        <v>140</v>
      </c>
      <c r="B148" s="10" t="s">
        <v>154</v>
      </c>
      <c r="C148" s="10" t="s">
        <v>155</v>
      </c>
      <c r="D148" s="69">
        <v>224.99</v>
      </c>
      <c r="E148" s="138">
        <v>0.15</v>
      </c>
      <c r="F148" s="69">
        <v>77.989999999999995</v>
      </c>
      <c r="G148" s="70">
        <f t="shared" si="12"/>
        <v>105.51588235294116</v>
      </c>
      <c r="H148" s="71">
        <f t="shared" si="13"/>
        <v>109.99</v>
      </c>
      <c r="I148" s="70">
        <f t="shared" si="14"/>
        <v>81.296956521739133</v>
      </c>
      <c r="J148" s="139">
        <v>10</v>
      </c>
      <c r="K148" s="139">
        <v>0.01</v>
      </c>
      <c r="L148" s="17"/>
    </row>
    <row r="149" spans="1:12" ht="15" customHeight="1" x14ac:dyDescent="0.75">
      <c r="A149" s="9">
        <v>141</v>
      </c>
      <c r="B149" s="10" t="s">
        <v>323</v>
      </c>
      <c r="C149" s="10" t="s">
        <v>230</v>
      </c>
      <c r="D149" s="108">
        <v>18000</v>
      </c>
      <c r="E149" s="138">
        <v>0.1</v>
      </c>
      <c r="F149" s="108">
        <v>11500</v>
      </c>
      <c r="G149" s="109">
        <f t="shared" si="12"/>
        <v>14882.352941176472</v>
      </c>
      <c r="H149" s="110">
        <f t="shared" si="13"/>
        <v>14900</v>
      </c>
      <c r="I149" s="109">
        <f t="shared" si="14"/>
        <v>11513.636363636362</v>
      </c>
      <c r="J149" s="139">
        <v>100</v>
      </c>
      <c r="K149" s="139">
        <v>0</v>
      </c>
      <c r="L149" s="17"/>
    </row>
    <row r="150" spans="1:12" ht="15" customHeight="1" x14ac:dyDescent="0.75">
      <c r="A150" s="9">
        <v>142</v>
      </c>
      <c r="B150" s="10" t="s">
        <v>76</v>
      </c>
      <c r="C150" s="10" t="s">
        <v>30</v>
      </c>
      <c r="D150" s="21">
        <v>12.99</v>
      </c>
      <c r="E150" s="138">
        <v>0.21</v>
      </c>
      <c r="F150" s="21">
        <v>7.49</v>
      </c>
      <c r="G150" s="22">
        <f t="shared" si="12"/>
        <v>10.662235294117648</v>
      </c>
      <c r="H150" s="23">
        <f t="shared" si="13"/>
        <v>10.99</v>
      </c>
      <c r="I150" s="22">
        <f t="shared" si="14"/>
        <v>7.7202479338842984</v>
      </c>
      <c r="J150" s="139">
        <v>0.5</v>
      </c>
      <c r="K150" s="139">
        <v>0.01</v>
      </c>
      <c r="L150" s="17"/>
    </row>
    <row r="151" spans="1:12" ht="15" customHeight="1" x14ac:dyDescent="0.75">
      <c r="A151" s="9">
        <v>143</v>
      </c>
      <c r="B151" s="10" t="s">
        <v>256</v>
      </c>
      <c r="C151" s="10" t="s">
        <v>324</v>
      </c>
      <c r="D151" s="117">
        <v>3950</v>
      </c>
      <c r="E151" s="138">
        <v>0</v>
      </c>
      <c r="F151" s="117">
        <v>1575</v>
      </c>
      <c r="G151" s="118">
        <f t="shared" si="12"/>
        <v>1852.9411764705883</v>
      </c>
      <c r="H151" s="119">
        <f t="shared" si="13"/>
        <v>1860</v>
      </c>
      <c r="I151" s="118">
        <f t="shared" si="14"/>
        <v>1581</v>
      </c>
      <c r="J151" s="139">
        <v>10</v>
      </c>
      <c r="K151" s="139">
        <v>0</v>
      </c>
      <c r="L151" s="17"/>
    </row>
    <row r="152" spans="1:12" ht="15" customHeight="1" x14ac:dyDescent="0.75">
      <c r="A152" s="9">
        <v>144</v>
      </c>
      <c r="B152" s="10" t="s">
        <v>325</v>
      </c>
      <c r="C152" s="10" t="s">
        <v>24</v>
      </c>
      <c r="D152" s="11">
        <v>11.99</v>
      </c>
      <c r="E152" s="138">
        <v>0</v>
      </c>
      <c r="F152" s="11">
        <v>6.49</v>
      </c>
      <c r="G152" s="13">
        <f t="shared" si="12"/>
        <v>7.6352941176470592</v>
      </c>
      <c r="H152" s="14">
        <f t="shared" si="13"/>
        <v>7.99</v>
      </c>
      <c r="I152" s="13">
        <f t="shared" si="14"/>
        <v>6.7915000000000001</v>
      </c>
      <c r="J152" s="139">
        <v>0.5</v>
      </c>
      <c r="K152" s="139">
        <v>0.01</v>
      </c>
      <c r="L152" s="17"/>
    </row>
    <row r="153" spans="1:12" ht="15" customHeight="1" x14ac:dyDescent="0.75">
      <c r="A153" s="9">
        <v>145</v>
      </c>
      <c r="B153" s="10" t="s">
        <v>204</v>
      </c>
      <c r="C153" s="10" t="s">
        <v>24</v>
      </c>
      <c r="D153" s="11">
        <v>11.99</v>
      </c>
      <c r="E153" s="138">
        <v>0</v>
      </c>
      <c r="F153" s="11">
        <v>6.49</v>
      </c>
      <c r="G153" s="13">
        <f t="shared" si="12"/>
        <v>7.6352941176470592</v>
      </c>
      <c r="H153" s="14">
        <f t="shared" si="13"/>
        <v>7.99</v>
      </c>
      <c r="I153" s="13">
        <f t="shared" si="14"/>
        <v>6.7915000000000001</v>
      </c>
      <c r="J153" s="139">
        <v>0.5</v>
      </c>
      <c r="K153" s="139">
        <v>0.01</v>
      </c>
      <c r="L153" s="17"/>
    </row>
    <row r="154" spans="1:12" ht="15" customHeight="1" x14ac:dyDescent="0.75">
      <c r="A154" s="9">
        <v>146</v>
      </c>
      <c r="B154" s="10" t="s">
        <v>206</v>
      </c>
      <c r="C154" s="10" t="s">
        <v>24</v>
      </c>
      <c r="D154" s="11">
        <v>11.99</v>
      </c>
      <c r="E154" s="138">
        <v>0</v>
      </c>
      <c r="F154" s="11">
        <v>4.99</v>
      </c>
      <c r="G154" s="13">
        <f t="shared" si="12"/>
        <v>5.8705882352941181</v>
      </c>
      <c r="H154" s="14">
        <f t="shared" si="13"/>
        <v>5.99</v>
      </c>
      <c r="I154" s="13">
        <f t="shared" si="14"/>
        <v>5.0914999999999999</v>
      </c>
      <c r="J154" s="139">
        <v>0.5</v>
      </c>
      <c r="K154" s="139">
        <v>0.01</v>
      </c>
      <c r="L154" s="17"/>
    </row>
    <row r="155" spans="1:12" ht="15" customHeight="1" x14ac:dyDescent="0.75">
      <c r="A155" s="9">
        <v>147</v>
      </c>
      <c r="B155" s="10" t="s">
        <v>77</v>
      </c>
      <c r="C155" s="10" t="s">
        <v>78</v>
      </c>
      <c r="D155" s="27">
        <v>149</v>
      </c>
      <c r="E155" s="138">
        <v>0.25</v>
      </c>
      <c r="F155" s="27">
        <v>99</v>
      </c>
      <c r="G155" s="28">
        <f t="shared" si="12"/>
        <v>145.58823529411765</v>
      </c>
      <c r="H155" s="29">
        <f t="shared" si="13"/>
        <v>149</v>
      </c>
      <c r="I155" s="28">
        <f t="shared" si="14"/>
        <v>101.32</v>
      </c>
      <c r="J155" s="139">
        <v>10</v>
      </c>
      <c r="K155" s="139">
        <v>1</v>
      </c>
      <c r="L155" s="17"/>
    </row>
    <row r="156" spans="1:12" ht="15" customHeight="1" x14ac:dyDescent="0.75">
      <c r="A156" s="9">
        <v>148</v>
      </c>
      <c r="B156" s="10" t="s">
        <v>79</v>
      </c>
      <c r="C156" s="10" t="s">
        <v>80</v>
      </c>
      <c r="D156" s="42">
        <v>9.9</v>
      </c>
      <c r="E156" s="138">
        <v>0</v>
      </c>
      <c r="F156" s="42">
        <v>9.4</v>
      </c>
      <c r="G156" s="43">
        <f t="shared" si="12"/>
        <v>11.058823529411766</v>
      </c>
      <c r="H156" s="44">
        <f t="shared" si="13"/>
        <v>11.5</v>
      </c>
      <c r="I156" s="43">
        <f t="shared" si="14"/>
        <v>9.7750000000000004</v>
      </c>
      <c r="J156" s="139">
        <v>0.5</v>
      </c>
      <c r="K156" s="139">
        <v>0</v>
      </c>
      <c r="L156" s="17"/>
    </row>
    <row r="157" spans="1:12" ht="15" customHeight="1" x14ac:dyDescent="0.75">
      <c r="A157" s="9">
        <v>149</v>
      </c>
      <c r="B157" s="10" t="s">
        <v>258</v>
      </c>
      <c r="C157" s="10" t="s">
        <v>259</v>
      </c>
      <c r="D157" s="126">
        <v>400</v>
      </c>
      <c r="E157" s="138">
        <v>0.05</v>
      </c>
      <c r="F157" s="126">
        <v>315</v>
      </c>
      <c r="G157" s="127">
        <f t="shared" si="12"/>
        <v>389.11764705882359</v>
      </c>
      <c r="H157" s="128">
        <f t="shared" si="13"/>
        <v>390</v>
      </c>
      <c r="I157" s="127">
        <f t="shared" si="14"/>
        <v>315.71428571428567</v>
      </c>
      <c r="J157" s="139">
        <v>10</v>
      </c>
      <c r="K157" s="139">
        <v>0</v>
      </c>
      <c r="L157" s="17"/>
    </row>
    <row r="158" spans="1:12" ht="15" customHeight="1" x14ac:dyDescent="0.75">
      <c r="A158" s="9">
        <v>150</v>
      </c>
      <c r="B158" s="10" t="s">
        <v>260</v>
      </c>
      <c r="C158" s="10" t="s">
        <v>24</v>
      </c>
      <c r="D158" s="11">
        <v>11.99</v>
      </c>
      <c r="E158" s="138">
        <v>0</v>
      </c>
      <c r="F158" s="11">
        <v>3.49</v>
      </c>
      <c r="G158" s="13">
        <f t="shared" si="12"/>
        <v>4.105882352941177</v>
      </c>
      <c r="H158" s="14">
        <f t="shared" si="13"/>
        <v>4.49</v>
      </c>
      <c r="I158" s="13">
        <f t="shared" si="14"/>
        <v>3.8165</v>
      </c>
      <c r="J158" s="139">
        <v>0.5</v>
      </c>
      <c r="K158" s="139">
        <v>0.01</v>
      </c>
      <c r="L158" s="17"/>
    </row>
    <row r="159" spans="1:12" ht="15" customHeight="1" x14ac:dyDescent="0.75">
      <c r="A159" s="9">
        <v>151</v>
      </c>
      <c r="B159" s="10" t="s">
        <v>156</v>
      </c>
      <c r="C159" s="10" t="s">
        <v>157</v>
      </c>
      <c r="D159" s="72">
        <v>32000</v>
      </c>
      <c r="E159" s="138">
        <v>0</v>
      </c>
      <c r="F159" s="72">
        <v>6900</v>
      </c>
      <c r="G159" s="73">
        <f t="shared" si="12"/>
        <v>8117.6470588235297</v>
      </c>
      <c r="H159" s="74">
        <f t="shared" si="13"/>
        <v>8200</v>
      </c>
      <c r="I159" s="73">
        <f t="shared" si="14"/>
        <v>6970</v>
      </c>
      <c r="J159" s="139">
        <v>100</v>
      </c>
      <c r="K159" s="139">
        <v>0</v>
      </c>
      <c r="L159" s="17"/>
    </row>
    <row r="160" spans="1:12" ht="15" customHeight="1" x14ac:dyDescent="0.75">
      <c r="A160" s="9">
        <v>152</v>
      </c>
      <c r="B160" s="10" t="s">
        <v>261</v>
      </c>
      <c r="C160" s="10" t="s">
        <v>262</v>
      </c>
      <c r="D160" s="129">
        <v>425</v>
      </c>
      <c r="E160" s="138">
        <v>7.0000000000000007E-2</v>
      </c>
      <c r="F160" s="129">
        <v>215</v>
      </c>
      <c r="G160" s="130">
        <f t="shared" si="12"/>
        <v>270.64705882352945</v>
      </c>
      <c r="H160" s="131">
        <f t="shared" si="13"/>
        <v>275</v>
      </c>
      <c r="I160" s="130">
        <f t="shared" si="14"/>
        <v>218.45794392523362</v>
      </c>
      <c r="J160" s="139">
        <v>5</v>
      </c>
      <c r="K160" s="139">
        <v>0</v>
      </c>
      <c r="L160" s="17"/>
    </row>
    <row r="161" spans="1:12" ht="15" customHeight="1" x14ac:dyDescent="0.75">
      <c r="A161" s="9">
        <v>153</v>
      </c>
      <c r="B161" s="10" t="s">
        <v>326</v>
      </c>
      <c r="C161" s="10" t="s">
        <v>30</v>
      </c>
      <c r="D161" s="21">
        <v>10.53</v>
      </c>
      <c r="E161" s="138">
        <v>0</v>
      </c>
      <c r="F161" s="21">
        <v>2.4900000000000002</v>
      </c>
      <c r="G161" s="22">
        <f t="shared" si="12"/>
        <v>2.9294117647058826</v>
      </c>
      <c r="H161" s="23">
        <f t="shared" si="13"/>
        <v>2.99</v>
      </c>
      <c r="I161" s="22">
        <f t="shared" si="14"/>
        <v>2.5415000000000001</v>
      </c>
      <c r="J161" s="139">
        <v>0.5</v>
      </c>
      <c r="K161" s="139">
        <v>0.01</v>
      </c>
      <c r="L161" s="17" t="s">
        <v>287</v>
      </c>
    </row>
    <row r="162" spans="1:12" ht="15" customHeight="1" x14ac:dyDescent="0.75">
      <c r="A162" s="9">
        <v>154</v>
      </c>
      <c r="B162" s="10" t="s">
        <v>263</v>
      </c>
      <c r="C162" s="10" t="s">
        <v>24</v>
      </c>
      <c r="D162" s="11">
        <v>11.99</v>
      </c>
      <c r="E162" s="138">
        <v>0</v>
      </c>
      <c r="F162" s="11">
        <v>3.49</v>
      </c>
      <c r="G162" s="13">
        <f t="shared" si="12"/>
        <v>4.105882352941177</v>
      </c>
      <c r="H162" s="14">
        <f t="shared" si="13"/>
        <v>4.49</v>
      </c>
      <c r="I162" s="13">
        <f t="shared" si="14"/>
        <v>3.8165</v>
      </c>
      <c r="J162" s="139">
        <v>0.5</v>
      </c>
      <c r="K162" s="139">
        <v>0.01</v>
      </c>
      <c r="L162" s="17"/>
    </row>
    <row r="163" spans="1:12" ht="15" customHeight="1" x14ac:dyDescent="0.75">
      <c r="A163" s="9">
        <v>155</v>
      </c>
      <c r="B163" s="10" t="s">
        <v>327</v>
      </c>
      <c r="C163" s="10" t="s">
        <v>24</v>
      </c>
      <c r="D163" s="11">
        <v>11.99</v>
      </c>
      <c r="E163" s="138">
        <v>0</v>
      </c>
      <c r="F163" s="11">
        <v>6.49</v>
      </c>
      <c r="G163" s="13">
        <f t="shared" si="12"/>
        <v>7.6352941176470592</v>
      </c>
      <c r="H163" s="14">
        <f t="shared" si="13"/>
        <v>7.99</v>
      </c>
      <c r="I163" s="13">
        <f t="shared" si="14"/>
        <v>6.7915000000000001</v>
      </c>
      <c r="J163" s="139">
        <v>0.5</v>
      </c>
      <c r="K163" s="139">
        <v>0.01</v>
      </c>
      <c r="L163" s="17"/>
    </row>
    <row r="164" spans="1:12" ht="15" customHeight="1" x14ac:dyDescent="0.75">
      <c r="A164" s="9">
        <v>156</v>
      </c>
      <c r="B164" s="10" t="s">
        <v>158</v>
      </c>
      <c r="C164" s="10" t="s">
        <v>24</v>
      </c>
      <c r="D164" s="11">
        <v>11.99</v>
      </c>
      <c r="E164" s="138">
        <v>0</v>
      </c>
      <c r="F164" s="11">
        <v>4.99</v>
      </c>
      <c r="G164" s="13">
        <f t="shared" si="12"/>
        <v>5.8705882352941181</v>
      </c>
      <c r="H164" s="14">
        <f t="shared" si="13"/>
        <v>5.99</v>
      </c>
      <c r="I164" s="13">
        <f t="shared" si="14"/>
        <v>5.0914999999999999</v>
      </c>
      <c r="J164" s="139">
        <v>0.5</v>
      </c>
      <c r="K164" s="139">
        <v>0.01</v>
      </c>
      <c r="L164" s="17"/>
    </row>
    <row r="165" spans="1:12" ht="15" customHeight="1" x14ac:dyDescent="0.75">
      <c r="A165" s="9">
        <v>157</v>
      </c>
      <c r="B165" s="10" t="s">
        <v>264</v>
      </c>
      <c r="C165" s="10" t="s">
        <v>24</v>
      </c>
      <c r="D165" s="11">
        <v>11.99</v>
      </c>
      <c r="E165" s="138">
        <v>0</v>
      </c>
      <c r="F165" s="11">
        <v>4.99</v>
      </c>
      <c r="G165" s="13">
        <f t="shared" si="12"/>
        <v>5.8705882352941181</v>
      </c>
      <c r="H165" s="14">
        <f t="shared" si="13"/>
        <v>5.99</v>
      </c>
      <c r="I165" s="13">
        <f t="shared" si="14"/>
        <v>5.0914999999999999</v>
      </c>
      <c r="J165" s="139">
        <v>0.5</v>
      </c>
      <c r="K165" s="139">
        <v>0.01</v>
      </c>
      <c r="L165" s="17"/>
    </row>
    <row r="166" spans="1:12" ht="15" customHeight="1" x14ac:dyDescent="0.75">
      <c r="A166" s="9">
        <v>158</v>
      </c>
      <c r="B166" s="10" t="s">
        <v>328</v>
      </c>
      <c r="C166" s="10" t="s">
        <v>24</v>
      </c>
      <c r="D166" s="11">
        <v>11.99</v>
      </c>
      <c r="E166" s="138">
        <v>0</v>
      </c>
      <c r="F166" s="11">
        <v>6.49</v>
      </c>
      <c r="G166" s="13">
        <f t="shared" si="12"/>
        <v>7.6352941176470592</v>
      </c>
      <c r="H166" s="14">
        <f t="shared" si="13"/>
        <v>7.99</v>
      </c>
      <c r="I166" s="13">
        <f t="shared" si="14"/>
        <v>6.7915000000000001</v>
      </c>
      <c r="J166" s="139">
        <v>0.5</v>
      </c>
      <c r="K166" s="139">
        <v>0.01</v>
      </c>
      <c r="L166" s="17"/>
    </row>
    <row r="167" spans="1:12" ht="15" customHeight="1" x14ac:dyDescent="0.75">
      <c r="A167" s="9">
        <v>159</v>
      </c>
      <c r="B167" s="10" t="s">
        <v>81</v>
      </c>
      <c r="C167" s="10" t="s">
        <v>82</v>
      </c>
      <c r="D167" s="45">
        <v>699.99</v>
      </c>
      <c r="E167" s="138">
        <v>0.2</v>
      </c>
      <c r="F167" s="45">
        <v>309.99</v>
      </c>
      <c r="G167" s="46">
        <f t="shared" si="12"/>
        <v>437.63294117647058</v>
      </c>
      <c r="H167" s="47">
        <f t="shared" si="13"/>
        <v>439.99</v>
      </c>
      <c r="I167" s="46">
        <f t="shared" si="14"/>
        <v>311.65958333333333</v>
      </c>
      <c r="J167" s="139">
        <v>10</v>
      </c>
      <c r="K167" s="139">
        <v>0.01</v>
      </c>
      <c r="L167" s="17"/>
    </row>
    <row r="168" spans="1:12" ht="15" customHeight="1" x14ac:dyDescent="0.75">
      <c r="A168" s="9">
        <v>160</v>
      </c>
      <c r="B168" s="10" t="s">
        <v>159</v>
      </c>
      <c r="C168" s="10" t="s">
        <v>24</v>
      </c>
      <c r="D168" s="11">
        <v>14.15</v>
      </c>
      <c r="E168" s="138">
        <v>0.18</v>
      </c>
      <c r="F168" s="11">
        <v>1.49</v>
      </c>
      <c r="G168" s="13">
        <f t="shared" si="12"/>
        <v>2.0684705882352938</v>
      </c>
      <c r="H168" s="14">
        <f t="shared" si="13"/>
        <v>2.4900000000000002</v>
      </c>
      <c r="I168" s="13">
        <f t="shared" si="14"/>
        <v>1.7936440677966103</v>
      </c>
      <c r="J168" s="139">
        <v>0.5</v>
      </c>
      <c r="K168" s="139">
        <v>0.01</v>
      </c>
      <c r="L168" s="17"/>
    </row>
    <row r="169" spans="1:12" ht="15" customHeight="1" x14ac:dyDescent="0.75">
      <c r="A169" s="9">
        <v>161</v>
      </c>
      <c r="B169" s="10" t="s">
        <v>83</v>
      </c>
      <c r="C169" s="10" t="s">
        <v>329</v>
      </c>
      <c r="D169" s="194">
        <v>639.99</v>
      </c>
      <c r="E169" s="138">
        <v>0.2</v>
      </c>
      <c r="F169" s="194">
        <v>214.99</v>
      </c>
      <c r="G169" s="195">
        <f t="shared" ref="G169:G183" si="15">F169/(1-$D$4)*(1+E169)</f>
        <v>303.51529411764704</v>
      </c>
      <c r="H169" s="196">
        <f t="shared" ref="H169:H183" si="16">CEILING(G169+K169,J169)-K169</f>
        <v>309.99</v>
      </c>
      <c r="I169" s="195">
        <f t="shared" ref="I169:I183" si="17">H169/(1+E169)*(1-$D$4)</f>
        <v>219.57625000000004</v>
      </c>
      <c r="J169" s="139">
        <v>10</v>
      </c>
      <c r="K169" s="139">
        <v>0.01</v>
      </c>
      <c r="L169" s="17"/>
    </row>
    <row r="170" spans="1:12" ht="15" customHeight="1" x14ac:dyDescent="0.75">
      <c r="A170" s="9">
        <v>162</v>
      </c>
      <c r="B170" s="10" t="s">
        <v>160</v>
      </c>
      <c r="C170" s="10" t="s">
        <v>161</v>
      </c>
      <c r="D170" s="75">
        <v>45.99</v>
      </c>
      <c r="E170" s="138">
        <v>0.05</v>
      </c>
      <c r="F170" s="75">
        <v>36.49</v>
      </c>
      <c r="G170" s="76">
        <f t="shared" si="15"/>
        <v>45.075882352941179</v>
      </c>
      <c r="H170" s="77">
        <f t="shared" si="16"/>
        <v>45.99</v>
      </c>
      <c r="I170" s="76">
        <f t="shared" si="17"/>
        <v>37.229999999999997</v>
      </c>
      <c r="J170" s="139">
        <v>1</v>
      </c>
      <c r="K170" s="139">
        <v>0.01</v>
      </c>
      <c r="L170" s="17"/>
    </row>
    <row r="171" spans="1:12" ht="15" customHeight="1" x14ac:dyDescent="0.75">
      <c r="A171" s="9">
        <v>163</v>
      </c>
      <c r="B171" s="10" t="s">
        <v>85</v>
      </c>
      <c r="C171" s="10" t="s">
        <v>86</v>
      </c>
      <c r="D171" s="48">
        <v>10.99</v>
      </c>
      <c r="E171" s="138">
        <v>0.2</v>
      </c>
      <c r="F171" s="48">
        <v>7.49</v>
      </c>
      <c r="G171" s="49">
        <f t="shared" si="15"/>
        <v>10.574117647058824</v>
      </c>
      <c r="H171" s="50">
        <f t="shared" si="16"/>
        <v>10.99</v>
      </c>
      <c r="I171" s="49">
        <f t="shared" si="17"/>
        <v>7.784583333333333</v>
      </c>
      <c r="J171" s="139">
        <v>0.5</v>
      </c>
      <c r="K171" s="139">
        <v>0.01</v>
      </c>
      <c r="L171" s="17"/>
    </row>
    <row r="172" spans="1:12" ht="15" customHeight="1" x14ac:dyDescent="0.75">
      <c r="A172" s="9">
        <v>164</v>
      </c>
      <c r="B172" s="10" t="s">
        <v>23</v>
      </c>
      <c r="C172" s="10" t="s">
        <v>24</v>
      </c>
      <c r="D172" s="11">
        <v>11.99</v>
      </c>
      <c r="E172" s="138">
        <v>0</v>
      </c>
      <c r="F172" s="11">
        <v>9.99</v>
      </c>
      <c r="G172" s="13">
        <f t="shared" si="15"/>
        <v>11.752941176470589</v>
      </c>
      <c r="H172" s="14">
        <f t="shared" si="16"/>
        <v>11.99</v>
      </c>
      <c r="I172" s="13">
        <f t="shared" si="17"/>
        <v>10.1915</v>
      </c>
      <c r="J172" s="139">
        <v>0.5</v>
      </c>
      <c r="K172" s="139">
        <v>0.01</v>
      </c>
      <c r="L172" s="17"/>
    </row>
    <row r="173" spans="1:12" ht="15" customHeight="1" x14ac:dyDescent="0.75">
      <c r="A173" s="9">
        <v>165</v>
      </c>
      <c r="B173" s="10" t="s">
        <v>209</v>
      </c>
      <c r="C173" s="10" t="s">
        <v>24</v>
      </c>
      <c r="D173" s="11">
        <v>11.99</v>
      </c>
      <c r="E173" s="138">
        <v>0</v>
      </c>
      <c r="F173" s="11">
        <v>6.49</v>
      </c>
      <c r="G173" s="13">
        <f t="shared" si="15"/>
        <v>7.6352941176470592</v>
      </c>
      <c r="H173" s="14">
        <f t="shared" si="16"/>
        <v>7.99</v>
      </c>
      <c r="I173" s="13">
        <f t="shared" si="17"/>
        <v>6.7915000000000001</v>
      </c>
      <c r="J173" s="139">
        <v>0.5</v>
      </c>
      <c r="K173" s="139">
        <v>0.01</v>
      </c>
      <c r="L173" s="17"/>
    </row>
    <row r="174" spans="1:12" ht="15" customHeight="1" x14ac:dyDescent="0.75">
      <c r="A174" s="9">
        <v>166</v>
      </c>
      <c r="B174" s="10" t="s">
        <v>265</v>
      </c>
      <c r="C174" s="10" t="s">
        <v>24</v>
      </c>
      <c r="D174" s="11">
        <v>13.43</v>
      </c>
      <c r="E174" s="138">
        <v>0.12</v>
      </c>
      <c r="F174" s="11">
        <v>3.49</v>
      </c>
      <c r="G174" s="13">
        <f t="shared" si="15"/>
        <v>4.5985882352941188</v>
      </c>
      <c r="H174" s="14">
        <f t="shared" si="16"/>
        <v>4.99</v>
      </c>
      <c r="I174" s="13">
        <f t="shared" si="17"/>
        <v>3.7870535714285709</v>
      </c>
      <c r="J174" s="139">
        <v>0.5</v>
      </c>
      <c r="K174" s="139">
        <v>0.01</v>
      </c>
      <c r="L174" s="17"/>
    </row>
    <row r="175" spans="1:12" ht="15" customHeight="1" x14ac:dyDescent="0.75">
      <c r="A175" s="9">
        <v>167</v>
      </c>
      <c r="B175" s="10" t="s">
        <v>266</v>
      </c>
      <c r="C175" s="10" t="s">
        <v>24</v>
      </c>
      <c r="D175" s="11">
        <v>11.99</v>
      </c>
      <c r="E175" s="138">
        <v>0</v>
      </c>
      <c r="F175" s="11">
        <v>2.4900000000000002</v>
      </c>
      <c r="G175" s="13">
        <f t="shared" si="15"/>
        <v>2.9294117647058826</v>
      </c>
      <c r="H175" s="14">
        <f t="shared" si="16"/>
        <v>2.99</v>
      </c>
      <c r="I175" s="13">
        <f t="shared" si="17"/>
        <v>2.5415000000000001</v>
      </c>
      <c r="J175" s="139">
        <v>0.5</v>
      </c>
      <c r="K175" s="139">
        <v>0.01</v>
      </c>
      <c r="L175" s="17"/>
    </row>
    <row r="176" spans="1:12" ht="15" customHeight="1" x14ac:dyDescent="0.75">
      <c r="A176" s="9">
        <v>168</v>
      </c>
      <c r="B176" s="10" t="s">
        <v>330</v>
      </c>
      <c r="C176" s="10" t="s">
        <v>30</v>
      </c>
      <c r="D176" s="21">
        <v>10.99</v>
      </c>
      <c r="E176" s="138">
        <v>0</v>
      </c>
      <c r="F176" s="21">
        <v>8.99</v>
      </c>
      <c r="G176" s="22">
        <f t="shared" si="15"/>
        <v>10.576470588235294</v>
      </c>
      <c r="H176" s="23">
        <f t="shared" si="16"/>
        <v>10.99</v>
      </c>
      <c r="I176" s="22">
        <f t="shared" si="17"/>
        <v>9.3414999999999999</v>
      </c>
      <c r="J176" s="139">
        <v>0.5</v>
      </c>
      <c r="K176" s="139">
        <v>0.01</v>
      </c>
      <c r="L176" s="17" t="s">
        <v>287</v>
      </c>
    </row>
    <row r="177" spans="1:12" ht="15" customHeight="1" x14ac:dyDescent="0.75">
      <c r="A177" s="9">
        <v>169</v>
      </c>
      <c r="B177" s="10" t="s">
        <v>210</v>
      </c>
      <c r="C177" s="10" t="s">
        <v>24</v>
      </c>
      <c r="D177" s="11">
        <v>11.99</v>
      </c>
      <c r="E177" s="138">
        <v>0</v>
      </c>
      <c r="F177" s="11">
        <v>2.4900000000000002</v>
      </c>
      <c r="G177" s="13">
        <f t="shared" si="15"/>
        <v>2.9294117647058826</v>
      </c>
      <c r="H177" s="14">
        <f t="shared" si="16"/>
        <v>2.99</v>
      </c>
      <c r="I177" s="13">
        <f t="shared" si="17"/>
        <v>2.5415000000000001</v>
      </c>
      <c r="J177" s="139">
        <v>0.5</v>
      </c>
      <c r="K177" s="139">
        <v>0.01</v>
      </c>
      <c r="L177" s="17"/>
    </row>
    <row r="178" spans="1:12" ht="15" customHeight="1" x14ac:dyDescent="0.75">
      <c r="A178" s="9">
        <v>170</v>
      </c>
      <c r="B178" s="10" t="s">
        <v>267</v>
      </c>
      <c r="C178" s="10" t="s">
        <v>268</v>
      </c>
      <c r="D178" s="132">
        <v>311000</v>
      </c>
      <c r="E178" s="138">
        <v>0.05</v>
      </c>
      <c r="F178" s="132">
        <v>125000</v>
      </c>
      <c r="G178" s="133">
        <f t="shared" si="15"/>
        <v>154411.76470588238</v>
      </c>
      <c r="H178" s="134">
        <f t="shared" si="16"/>
        <v>155000</v>
      </c>
      <c r="I178" s="133">
        <f t="shared" si="17"/>
        <v>125476.19047619046</v>
      </c>
      <c r="J178" s="139">
        <v>1000</v>
      </c>
      <c r="K178" s="139">
        <v>0</v>
      </c>
      <c r="L178" s="17"/>
    </row>
    <row r="179" spans="1:12" ht="15" customHeight="1" x14ac:dyDescent="0.75">
      <c r="A179" s="9">
        <v>171</v>
      </c>
      <c r="B179" s="10" t="s">
        <v>162</v>
      </c>
      <c r="C179" s="10" t="s">
        <v>24</v>
      </c>
      <c r="D179" s="11">
        <v>11.99</v>
      </c>
      <c r="E179" s="138">
        <v>0</v>
      </c>
      <c r="F179" s="11">
        <v>1.49</v>
      </c>
      <c r="G179" s="13">
        <f t="shared" si="15"/>
        <v>1.7529411764705882</v>
      </c>
      <c r="H179" s="14">
        <f t="shared" si="16"/>
        <v>1.99</v>
      </c>
      <c r="I179" s="13">
        <f t="shared" si="17"/>
        <v>1.6915</v>
      </c>
      <c r="J179" s="139">
        <v>0.5</v>
      </c>
      <c r="K179" s="139">
        <v>0.01</v>
      </c>
      <c r="L179" s="17"/>
    </row>
    <row r="180" spans="1:12" ht="15" customHeight="1" x14ac:dyDescent="0.75">
      <c r="A180" s="9">
        <v>172</v>
      </c>
      <c r="B180" s="10" t="s">
        <v>163</v>
      </c>
      <c r="C180" s="10" t="s">
        <v>24</v>
      </c>
      <c r="D180" s="11">
        <v>11.99</v>
      </c>
      <c r="E180" s="138">
        <v>0</v>
      </c>
      <c r="F180" s="11">
        <v>2.4900000000000002</v>
      </c>
      <c r="G180" s="13">
        <f t="shared" si="15"/>
        <v>2.9294117647058826</v>
      </c>
      <c r="H180" s="14">
        <f t="shared" si="16"/>
        <v>2.99</v>
      </c>
      <c r="I180" s="13">
        <f t="shared" si="17"/>
        <v>2.5415000000000001</v>
      </c>
      <c r="J180" s="139">
        <v>0.5</v>
      </c>
      <c r="K180" s="139">
        <v>0.01</v>
      </c>
      <c r="L180" s="17"/>
    </row>
    <row r="181" spans="1:12" ht="15" customHeight="1" x14ac:dyDescent="0.75">
      <c r="A181" s="9">
        <v>173</v>
      </c>
      <c r="B181" s="10" t="s">
        <v>164</v>
      </c>
      <c r="C181" s="10" t="s">
        <v>24</v>
      </c>
      <c r="D181" s="11">
        <v>11.99</v>
      </c>
      <c r="E181" s="138">
        <v>0</v>
      </c>
      <c r="F181" s="11">
        <v>2.4900000000000002</v>
      </c>
      <c r="G181" s="13">
        <f t="shared" si="15"/>
        <v>2.9294117647058826</v>
      </c>
      <c r="H181" s="14">
        <f t="shared" si="16"/>
        <v>2.99</v>
      </c>
      <c r="I181" s="13">
        <f t="shared" si="17"/>
        <v>2.5415000000000001</v>
      </c>
      <c r="J181" s="139">
        <v>0.5</v>
      </c>
      <c r="K181" s="139">
        <v>0.01</v>
      </c>
      <c r="L181" s="17"/>
    </row>
    <row r="182" spans="1:12" ht="15" customHeight="1" x14ac:dyDescent="0.75">
      <c r="A182" s="9">
        <v>174</v>
      </c>
      <c r="B182" s="10" t="s">
        <v>331</v>
      </c>
      <c r="C182" s="10" t="s">
        <v>24</v>
      </c>
      <c r="D182" s="11">
        <v>11.99</v>
      </c>
      <c r="E182" s="138">
        <v>0</v>
      </c>
      <c r="F182" s="11">
        <v>4.99</v>
      </c>
      <c r="G182" s="13">
        <f t="shared" si="15"/>
        <v>5.8705882352941181</v>
      </c>
      <c r="H182" s="14">
        <f t="shared" si="16"/>
        <v>5.99</v>
      </c>
      <c r="I182" s="13">
        <f t="shared" si="17"/>
        <v>5.0914999999999999</v>
      </c>
      <c r="J182" s="139">
        <v>0.5</v>
      </c>
      <c r="K182" s="139">
        <v>0.01</v>
      </c>
      <c r="L182" s="17" t="s">
        <v>287</v>
      </c>
    </row>
    <row r="183" spans="1:12" ht="15" customHeight="1" x14ac:dyDescent="0.75">
      <c r="A183" s="9">
        <v>175</v>
      </c>
      <c r="B183" s="10" t="s">
        <v>332</v>
      </c>
      <c r="C183" s="10" t="s">
        <v>30</v>
      </c>
      <c r="D183" s="21">
        <v>10.53</v>
      </c>
      <c r="E183" s="138">
        <v>0</v>
      </c>
      <c r="F183" s="21">
        <v>3.99</v>
      </c>
      <c r="G183" s="22">
        <f t="shared" si="15"/>
        <v>4.6941176470588237</v>
      </c>
      <c r="H183" s="23">
        <f t="shared" si="16"/>
        <v>4.99</v>
      </c>
      <c r="I183" s="22">
        <f t="shared" si="17"/>
        <v>4.2415000000000003</v>
      </c>
      <c r="J183" s="139">
        <v>0.5</v>
      </c>
      <c r="K183" s="139">
        <v>0.01</v>
      </c>
      <c r="L183" s="17" t="s">
        <v>287</v>
      </c>
    </row>
    <row r="185" spans="1:12" ht="15" customHeight="1" x14ac:dyDescent="0.75">
      <c r="A185" s="135" t="s">
        <v>269</v>
      </c>
    </row>
    <row r="186" spans="1:12" ht="15" customHeight="1" x14ac:dyDescent="0.75">
      <c r="A186" s="136" t="s">
        <v>333</v>
      </c>
    </row>
    <row r="187" spans="1:12" ht="15" customHeight="1" x14ac:dyDescent="0.75">
      <c r="A187" s="136" t="s">
        <v>334</v>
      </c>
    </row>
    <row r="188" spans="1:12" ht="15" customHeight="1" x14ac:dyDescent="0.75">
      <c r="A188" s="136" t="s">
        <v>335</v>
      </c>
    </row>
    <row r="189" spans="1:12" ht="15" customHeight="1" x14ac:dyDescent="0.75">
      <c r="A189" s="136" t="s">
        <v>336</v>
      </c>
    </row>
    <row r="190" spans="1:12" ht="15" customHeight="1" x14ac:dyDescent="0.75">
      <c r="A190" s="136" t="s">
        <v>337</v>
      </c>
    </row>
    <row r="191" spans="1:12" ht="15" customHeight="1" x14ac:dyDescent="0.75">
      <c r="A191" s="136" t="s">
        <v>338</v>
      </c>
    </row>
  </sheetData>
  <autoFilter ref="A8:L18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6"/>
  <sheetViews>
    <sheetView zoomScaleNormal="100" workbookViewId="0">
      <pane xSplit="2" ySplit="5" topLeftCell="C12" activePane="bottomRight" state="frozen"/>
      <selection pane="topRight" activeCell="C1" sqref="C1"/>
      <selection pane="bottomLeft" activeCell="A6" sqref="A6"/>
      <selection pane="bottomRight"/>
    </sheetView>
  </sheetViews>
  <sheetFormatPr defaultColWidth="8.6796875" defaultRowHeight="14.75" x14ac:dyDescent="0.75"/>
  <cols>
    <col min="1" max="1" width="6" customWidth="1"/>
    <col min="2" max="2" width="32" customWidth="1"/>
    <col min="3" max="3" width="12" customWidth="1"/>
    <col min="4" max="4" width="14" customWidth="1"/>
    <col min="5" max="5" width="12" customWidth="1"/>
    <col min="6" max="6" width="14" customWidth="1"/>
    <col min="7" max="7" width="18" customWidth="1"/>
    <col min="8" max="8" width="48" customWidth="1"/>
  </cols>
  <sheetData>
    <row r="1" spans="1:8" ht="18" x14ac:dyDescent="0.8">
      <c r="A1" s="197" t="s">
        <v>339</v>
      </c>
    </row>
    <row r="2" spans="1:8" x14ac:dyDescent="0.75">
      <c r="A2" s="198" t="s">
        <v>340</v>
      </c>
    </row>
    <row r="3" spans="1:8" x14ac:dyDescent="0.75">
      <c r="A3" s="199" t="s">
        <v>341</v>
      </c>
    </row>
    <row r="5" spans="1:8" ht="31.5" customHeight="1" x14ac:dyDescent="0.75">
      <c r="A5" s="200" t="s">
        <v>9</v>
      </c>
      <c r="B5" s="200" t="s">
        <v>10</v>
      </c>
      <c r="C5" s="200" t="s">
        <v>342</v>
      </c>
      <c r="D5" s="200" t="s">
        <v>343</v>
      </c>
      <c r="E5" s="200" t="s">
        <v>344</v>
      </c>
      <c r="F5" s="200" t="s">
        <v>345</v>
      </c>
      <c r="G5" s="200" t="s">
        <v>346</v>
      </c>
      <c r="H5" s="200" t="s">
        <v>21</v>
      </c>
    </row>
    <row r="6" spans="1:8" x14ac:dyDescent="0.75">
      <c r="A6" s="201">
        <v>1</v>
      </c>
      <c r="B6" s="202" t="s">
        <v>28</v>
      </c>
      <c r="C6" s="203" t="s">
        <v>347</v>
      </c>
      <c r="D6" s="204">
        <v>8.99</v>
      </c>
      <c r="E6" s="203" t="s">
        <v>347</v>
      </c>
      <c r="F6" s="204">
        <v>8.99</v>
      </c>
      <c r="G6" s="202" t="str">
        <f t="shared" ref="G6:G37" si="0">IF(C6="","Not on App Store",IF(E6="","Not on Google Play",IF(F6="","Price not shown",IF(AND(C6=E6,ABS(D6-F6)&lt;0.005),"Match",IF(C6&lt;&gt;E6,"Currency differs","Price differs")))))</f>
        <v>Match</v>
      </c>
      <c r="H6" s="205"/>
    </row>
    <row r="7" spans="1:8" x14ac:dyDescent="0.75">
      <c r="A7" s="201">
        <v>2</v>
      </c>
      <c r="B7" s="202" t="s">
        <v>89</v>
      </c>
      <c r="C7" s="203" t="s">
        <v>347</v>
      </c>
      <c r="D7" s="204">
        <v>5.99</v>
      </c>
      <c r="E7" s="203" t="s">
        <v>348</v>
      </c>
      <c r="F7" s="204">
        <v>799</v>
      </c>
      <c r="G7" s="202" t="str">
        <f t="shared" si="0"/>
        <v>Currency differs</v>
      </c>
      <c r="H7" s="205"/>
    </row>
    <row r="8" spans="1:8" x14ac:dyDescent="0.75">
      <c r="A8" s="201">
        <v>3</v>
      </c>
      <c r="B8" s="202" t="s">
        <v>91</v>
      </c>
      <c r="C8" s="203" t="s">
        <v>347</v>
      </c>
      <c r="D8" s="204">
        <v>3.99</v>
      </c>
      <c r="E8" s="203" t="s">
        <v>347</v>
      </c>
      <c r="F8" s="204">
        <v>3.99</v>
      </c>
      <c r="G8" s="202" t="str">
        <f t="shared" si="0"/>
        <v>Match</v>
      </c>
      <c r="H8" s="205"/>
    </row>
    <row r="9" spans="1:8" x14ac:dyDescent="0.75">
      <c r="A9" s="201">
        <v>4</v>
      </c>
      <c r="B9" s="202" t="s">
        <v>285</v>
      </c>
      <c r="C9" s="203" t="s">
        <v>347</v>
      </c>
      <c r="D9" s="204">
        <v>7.99</v>
      </c>
      <c r="E9" s="203" t="s">
        <v>347</v>
      </c>
      <c r="F9" s="204">
        <v>7.99</v>
      </c>
      <c r="G9" s="202" t="str">
        <f t="shared" si="0"/>
        <v>Match</v>
      </c>
      <c r="H9" s="205"/>
    </row>
    <row r="10" spans="1:8" x14ac:dyDescent="0.75">
      <c r="A10" s="201">
        <v>5</v>
      </c>
      <c r="B10" s="202" t="s">
        <v>168</v>
      </c>
      <c r="C10" s="203" t="s">
        <v>347</v>
      </c>
      <c r="D10" s="204">
        <v>7.99</v>
      </c>
      <c r="E10" s="203" t="s">
        <v>347</v>
      </c>
      <c r="F10" s="204">
        <v>7.99</v>
      </c>
      <c r="G10" s="202" t="str">
        <f t="shared" si="0"/>
        <v>Match</v>
      </c>
      <c r="H10" s="205"/>
    </row>
    <row r="11" spans="1:8" x14ac:dyDescent="0.75">
      <c r="A11" s="201">
        <v>6</v>
      </c>
      <c r="B11" s="202" t="s">
        <v>92</v>
      </c>
      <c r="C11" s="203" t="s">
        <v>347</v>
      </c>
      <c r="D11" s="204">
        <v>8.99</v>
      </c>
      <c r="E11" s="203" t="s">
        <v>347</v>
      </c>
      <c r="F11" s="204">
        <v>7.99</v>
      </c>
      <c r="G11" s="202" t="str">
        <f t="shared" si="0"/>
        <v>Price differs</v>
      </c>
      <c r="H11" s="205"/>
    </row>
    <row r="12" spans="1:8" x14ac:dyDescent="0.75">
      <c r="A12" s="201">
        <v>7</v>
      </c>
      <c r="B12" s="202" t="s">
        <v>286</v>
      </c>
      <c r="C12" s="203"/>
      <c r="D12" s="204"/>
      <c r="E12" s="203" t="s">
        <v>347</v>
      </c>
      <c r="F12" s="204">
        <v>9.99</v>
      </c>
      <c r="G12" s="202" t="str">
        <f t="shared" si="0"/>
        <v>Not on App Store</v>
      </c>
      <c r="H12" s="205"/>
    </row>
    <row r="13" spans="1:8" x14ac:dyDescent="0.75">
      <c r="A13" s="201">
        <v>8</v>
      </c>
      <c r="B13" s="202" t="s">
        <v>212</v>
      </c>
      <c r="C13" s="203" t="s">
        <v>349</v>
      </c>
      <c r="D13" s="204">
        <v>17.989999999999998</v>
      </c>
      <c r="E13" s="203" t="s">
        <v>349</v>
      </c>
      <c r="F13" s="204">
        <v>17.989999999999998</v>
      </c>
      <c r="G13" s="202" t="str">
        <f t="shared" si="0"/>
        <v>Match</v>
      </c>
      <c r="H13" s="205"/>
    </row>
    <row r="14" spans="1:8" x14ac:dyDescent="0.75">
      <c r="A14" s="201">
        <v>9</v>
      </c>
      <c r="B14" s="202" t="s">
        <v>29</v>
      </c>
      <c r="C14" s="203" t="s">
        <v>350</v>
      </c>
      <c r="D14" s="204">
        <v>12.99</v>
      </c>
      <c r="E14" s="203" t="s">
        <v>350</v>
      </c>
      <c r="F14" s="204">
        <v>12.99</v>
      </c>
      <c r="G14" s="202" t="str">
        <f t="shared" si="0"/>
        <v>Match</v>
      </c>
      <c r="H14" s="205"/>
    </row>
    <row r="15" spans="1:8" x14ac:dyDescent="0.75">
      <c r="A15" s="201">
        <v>10</v>
      </c>
      <c r="B15" s="202" t="s">
        <v>93</v>
      </c>
      <c r="C15" s="203" t="s">
        <v>347</v>
      </c>
      <c r="D15" s="204">
        <v>8.99</v>
      </c>
      <c r="E15" s="203" t="s">
        <v>347</v>
      </c>
      <c r="F15" s="204">
        <v>7.99</v>
      </c>
      <c r="G15" s="202" t="str">
        <f t="shared" si="0"/>
        <v>Price differs</v>
      </c>
      <c r="H15" s="205"/>
    </row>
    <row r="16" spans="1:8" x14ac:dyDescent="0.75">
      <c r="A16" s="201">
        <v>11</v>
      </c>
      <c r="B16" s="202" t="s">
        <v>169</v>
      </c>
      <c r="C16" s="203" t="s">
        <v>347</v>
      </c>
      <c r="D16" s="204">
        <v>10.99</v>
      </c>
      <c r="E16" s="203" t="s">
        <v>347</v>
      </c>
      <c r="F16" s="204">
        <v>9.99</v>
      </c>
      <c r="G16" s="202" t="str">
        <f t="shared" si="0"/>
        <v>Price differs</v>
      </c>
      <c r="H16" s="205"/>
    </row>
    <row r="17" spans="1:8" x14ac:dyDescent="0.75">
      <c r="A17" s="201">
        <v>12</v>
      </c>
      <c r="B17" s="202" t="s">
        <v>94</v>
      </c>
      <c r="C17" s="203" t="s">
        <v>347</v>
      </c>
      <c r="D17" s="204">
        <v>10.99</v>
      </c>
      <c r="E17" s="203" t="s">
        <v>347</v>
      </c>
      <c r="F17" s="204">
        <v>10.99</v>
      </c>
      <c r="G17" s="202" t="str">
        <f t="shared" si="0"/>
        <v>Match</v>
      </c>
      <c r="H17" s="205"/>
    </row>
    <row r="18" spans="1:8" x14ac:dyDescent="0.75">
      <c r="A18" s="201">
        <v>13</v>
      </c>
      <c r="B18" s="202" t="s">
        <v>288</v>
      </c>
      <c r="C18" s="203"/>
      <c r="D18" s="204"/>
      <c r="E18" s="203" t="s">
        <v>351</v>
      </c>
      <c r="F18" s="204">
        <v>600</v>
      </c>
      <c r="G18" s="202" t="str">
        <f t="shared" si="0"/>
        <v>Not on App Store</v>
      </c>
      <c r="H18" s="205"/>
    </row>
    <row r="19" spans="1:8" x14ac:dyDescent="0.75">
      <c r="A19" s="201">
        <v>14</v>
      </c>
      <c r="B19" s="202" t="s">
        <v>31</v>
      </c>
      <c r="C19" s="203" t="s">
        <v>347</v>
      </c>
      <c r="D19" s="204">
        <v>8.99</v>
      </c>
      <c r="E19" s="203" t="s">
        <v>347</v>
      </c>
      <c r="F19" s="204">
        <v>8.99</v>
      </c>
      <c r="G19" s="202" t="str">
        <f t="shared" si="0"/>
        <v>Match</v>
      </c>
      <c r="H19" s="205"/>
    </row>
    <row r="20" spans="1:8" x14ac:dyDescent="0.75">
      <c r="A20" s="201">
        <v>15</v>
      </c>
      <c r="B20" s="202" t="s">
        <v>32</v>
      </c>
      <c r="C20" s="203" t="s">
        <v>350</v>
      </c>
      <c r="D20" s="204">
        <v>12.99</v>
      </c>
      <c r="E20" s="203" t="s">
        <v>350</v>
      </c>
      <c r="F20" s="204">
        <v>12.99</v>
      </c>
      <c r="G20" s="202" t="str">
        <f t="shared" si="0"/>
        <v>Match</v>
      </c>
      <c r="H20" s="205"/>
    </row>
    <row r="21" spans="1:8" x14ac:dyDescent="0.75">
      <c r="A21" s="201">
        <v>16</v>
      </c>
      <c r="B21" s="202" t="s">
        <v>171</v>
      </c>
      <c r="C21" s="203" t="s">
        <v>347</v>
      </c>
      <c r="D21" s="204">
        <v>5.99</v>
      </c>
      <c r="E21" s="203" t="s">
        <v>347</v>
      </c>
      <c r="F21" s="204">
        <v>5.99</v>
      </c>
      <c r="G21" s="202" t="str">
        <f t="shared" si="0"/>
        <v>Match</v>
      </c>
      <c r="H21" s="205"/>
    </row>
    <row r="22" spans="1:8" x14ac:dyDescent="0.75">
      <c r="A22" s="201">
        <v>17</v>
      </c>
      <c r="B22" s="202" t="s">
        <v>95</v>
      </c>
      <c r="C22" s="203" t="s">
        <v>347</v>
      </c>
      <c r="D22" s="204">
        <v>3.99</v>
      </c>
      <c r="E22" s="203" t="s">
        <v>350</v>
      </c>
      <c r="F22" s="204">
        <v>2.99</v>
      </c>
      <c r="G22" s="202" t="str">
        <f t="shared" si="0"/>
        <v>Currency differs</v>
      </c>
      <c r="H22" s="205"/>
    </row>
    <row r="23" spans="1:8" x14ac:dyDescent="0.75">
      <c r="A23" s="201">
        <v>18</v>
      </c>
      <c r="B23" s="202" t="s">
        <v>172</v>
      </c>
      <c r="C23" s="203" t="s">
        <v>347</v>
      </c>
      <c r="D23" s="204">
        <v>13.99</v>
      </c>
      <c r="E23" s="203" t="s">
        <v>347</v>
      </c>
      <c r="F23" s="204">
        <v>13.99</v>
      </c>
      <c r="G23" s="202" t="str">
        <f t="shared" si="0"/>
        <v>Match</v>
      </c>
      <c r="H23" s="205"/>
    </row>
    <row r="24" spans="1:8" x14ac:dyDescent="0.75">
      <c r="A24" s="201">
        <v>19</v>
      </c>
      <c r="B24" s="202" t="s">
        <v>173</v>
      </c>
      <c r="C24" s="203" t="s">
        <v>347</v>
      </c>
      <c r="D24" s="204">
        <v>3.99</v>
      </c>
      <c r="E24" s="203" t="s">
        <v>352</v>
      </c>
      <c r="F24" s="204">
        <v>49.99</v>
      </c>
      <c r="G24" s="202" t="str">
        <f t="shared" si="0"/>
        <v>Currency differs</v>
      </c>
      <c r="H24" s="205"/>
    </row>
    <row r="25" spans="1:8" x14ac:dyDescent="0.75">
      <c r="A25" s="201">
        <v>20</v>
      </c>
      <c r="B25" s="202" t="s">
        <v>291</v>
      </c>
      <c r="C25" s="203" t="s">
        <v>350</v>
      </c>
      <c r="D25" s="204">
        <v>7.99</v>
      </c>
      <c r="E25" s="203" t="s">
        <v>347</v>
      </c>
      <c r="F25" s="204">
        <v>7.99</v>
      </c>
      <c r="G25" s="202" t="str">
        <f t="shared" si="0"/>
        <v>Currency differs</v>
      </c>
      <c r="H25" s="205">
        <v>8.99</v>
      </c>
    </row>
    <row r="26" spans="1:8" x14ac:dyDescent="0.75">
      <c r="A26" s="201">
        <v>21</v>
      </c>
      <c r="B26" s="202" t="s">
        <v>97</v>
      </c>
      <c r="C26" s="203" t="s">
        <v>347</v>
      </c>
      <c r="D26" s="204">
        <v>5.99</v>
      </c>
      <c r="E26" s="203" t="s">
        <v>347</v>
      </c>
      <c r="F26" s="204">
        <v>5.99</v>
      </c>
      <c r="G26" s="202" t="str">
        <f t="shared" si="0"/>
        <v>Match</v>
      </c>
      <c r="H26" s="205"/>
    </row>
    <row r="27" spans="1:8" x14ac:dyDescent="0.75">
      <c r="A27" s="201">
        <v>22</v>
      </c>
      <c r="B27" s="202" t="s">
        <v>175</v>
      </c>
      <c r="C27" s="203" t="s">
        <v>353</v>
      </c>
      <c r="D27" s="204">
        <v>34.9</v>
      </c>
      <c r="E27" s="203" t="s">
        <v>353</v>
      </c>
      <c r="F27" s="204">
        <v>29.99</v>
      </c>
      <c r="G27" s="202" t="str">
        <f t="shared" si="0"/>
        <v>Price differs</v>
      </c>
      <c r="H27" s="205"/>
    </row>
    <row r="28" spans="1:8" x14ac:dyDescent="0.75">
      <c r="A28" s="201">
        <v>23</v>
      </c>
      <c r="B28" s="202" t="s">
        <v>177</v>
      </c>
      <c r="C28" s="203" t="s">
        <v>347</v>
      </c>
      <c r="D28" s="204">
        <v>7.99</v>
      </c>
      <c r="E28" s="203" t="s">
        <v>347</v>
      </c>
      <c r="F28" s="204">
        <v>7.99</v>
      </c>
      <c r="G28" s="202" t="str">
        <f t="shared" si="0"/>
        <v>Match</v>
      </c>
      <c r="H28" s="205"/>
    </row>
    <row r="29" spans="1:8" x14ac:dyDescent="0.75">
      <c r="A29" s="201">
        <v>24</v>
      </c>
      <c r="B29" s="202" t="s">
        <v>35</v>
      </c>
      <c r="C29" s="203" t="s">
        <v>350</v>
      </c>
      <c r="D29" s="204">
        <v>7.99</v>
      </c>
      <c r="E29" s="203" t="s">
        <v>350</v>
      </c>
      <c r="F29" s="204">
        <v>7.99</v>
      </c>
      <c r="G29" s="202" t="str">
        <f t="shared" si="0"/>
        <v>Match</v>
      </c>
      <c r="H29" s="205"/>
    </row>
    <row r="30" spans="1:8" x14ac:dyDescent="0.75">
      <c r="A30" s="201">
        <v>25</v>
      </c>
      <c r="B30" s="202" t="s">
        <v>98</v>
      </c>
      <c r="C30" s="203" t="s">
        <v>347</v>
      </c>
      <c r="D30" s="204">
        <v>1.99</v>
      </c>
      <c r="E30" s="203" t="s">
        <v>350</v>
      </c>
      <c r="F30" s="204">
        <v>1.99</v>
      </c>
      <c r="G30" s="202" t="str">
        <f t="shared" si="0"/>
        <v>Currency differs</v>
      </c>
      <c r="H30" s="205"/>
    </row>
    <row r="31" spans="1:8" x14ac:dyDescent="0.75">
      <c r="A31" s="201">
        <v>26</v>
      </c>
      <c r="B31" s="202" t="s">
        <v>216</v>
      </c>
      <c r="C31" s="203" t="s">
        <v>347</v>
      </c>
      <c r="D31" s="204">
        <v>4.99</v>
      </c>
      <c r="E31" s="203" t="s">
        <v>347</v>
      </c>
      <c r="F31" s="204">
        <v>3.99</v>
      </c>
      <c r="G31" s="202" t="str">
        <f t="shared" si="0"/>
        <v>Price differs</v>
      </c>
      <c r="H31" s="205"/>
    </row>
    <row r="32" spans="1:8" x14ac:dyDescent="0.75">
      <c r="A32" s="201">
        <v>27</v>
      </c>
      <c r="B32" s="202" t="s">
        <v>100</v>
      </c>
      <c r="C32" s="203" t="s">
        <v>347</v>
      </c>
      <c r="D32" s="204">
        <v>3.99</v>
      </c>
      <c r="E32" s="203" t="s">
        <v>354</v>
      </c>
      <c r="F32" s="204">
        <v>2200</v>
      </c>
      <c r="G32" s="202" t="str">
        <f t="shared" si="0"/>
        <v>Currency differs</v>
      </c>
      <c r="H32" s="205">
        <v>2300</v>
      </c>
    </row>
    <row r="33" spans="1:8" x14ac:dyDescent="0.75">
      <c r="A33" s="201">
        <v>28</v>
      </c>
      <c r="B33" s="202" t="s">
        <v>25</v>
      </c>
      <c r="C33" s="203" t="s">
        <v>355</v>
      </c>
      <c r="D33" s="204">
        <v>16.989999999999998</v>
      </c>
      <c r="E33" s="203" t="s">
        <v>355</v>
      </c>
      <c r="F33" s="204">
        <v>16.989999999999998</v>
      </c>
      <c r="G33" s="202" t="str">
        <f t="shared" si="0"/>
        <v>Match</v>
      </c>
      <c r="H33" s="205"/>
    </row>
    <row r="34" spans="1:8" x14ac:dyDescent="0.75">
      <c r="A34" s="201">
        <v>29</v>
      </c>
      <c r="B34" s="202" t="s">
        <v>102</v>
      </c>
      <c r="C34" s="203" t="s">
        <v>347</v>
      </c>
      <c r="D34" s="204">
        <v>3.99</v>
      </c>
      <c r="E34" s="203" t="s">
        <v>347</v>
      </c>
      <c r="F34" s="204">
        <v>3.99</v>
      </c>
      <c r="G34" s="202" t="str">
        <f t="shared" si="0"/>
        <v>Match</v>
      </c>
      <c r="H34" s="205"/>
    </row>
    <row r="35" spans="1:8" x14ac:dyDescent="0.75">
      <c r="A35" s="201">
        <v>30</v>
      </c>
      <c r="B35" s="202" t="s">
        <v>178</v>
      </c>
      <c r="C35" s="203" t="s">
        <v>347</v>
      </c>
      <c r="D35" s="204">
        <v>9.99</v>
      </c>
      <c r="E35" s="203" t="s">
        <v>347</v>
      </c>
      <c r="F35" s="204">
        <v>9.99</v>
      </c>
      <c r="G35" s="202" t="str">
        <f t="shared" si="0"/>
        <v>Match</v>
      </c>
      <c r="H35" s="205"/>
    </row>
    <row r="36" spans="1:8" x14ac:dyDescent="0.75">
      <c r="A36" s="201">
        <v>31</v>
      </c>
      <c r="B36" s="202" t="s">
        <v>293</v>
      </c>
      <c r="C36" s="203"/>
      <c r="D36" s="204"/>
      <c r="E36" s="203" t="s">
        <v>350</v>
      </c>
      <c r="F36" s="204">
        <v>1.99</v>
      </c>
      <c r="G36" s="202" t="str">
        <f t="shared" si="0"/>
        <v>Not on App Store</v>
      </c>
      <c r="H36" s="205"/>
    </row>
    <row r="37" spans="1:8" x14ac:dyDescent="0.75">
      <c r="A37" s="201">
        <v>32</v>
      </c>
      <c r="B37" s="202" t="s">
        <v>103</v>
      </c>
      <c r="C37" s="203" t="s">
        <v>347</v>
      </c>
      <c r="D37" s="204">
        <v>1.99</v>
      </c>
      <c r="E37" s="203" t="s">
        <v>347</v>
      </c>
      <c r="F37" s="204">
        <v>1.99</v>
      </c>
      <c r="G37" s="202" t="str">
        <f t="shared" si="0"/>
        <v>Match</v>
      </c>
      <c r="H37" s="205"/>
    </row>
    <row r="38" spans="1:8" x14ac:dyDescent="0.75">
      <c r="A38" s="201">
        <v>33</v>
      </c>
      <c r="B38" s="202" t="s">
        <v>179</v>
      </c>
      <c r="C38" s="203" t="s">
        <v>356</v>
      </c>
      <c r="D38" s="204">
        <v>8990</v>
      </c>
      <c r="E38" s="203" t="s">
        <v>356</v>
      </c>
      <c r="F38" s="204">
        <v>8900</v>
      </c>
      <c r="G38" s="202" t="str">
        <f t="shared" ref="G38:G69" si="1">IF(C38="","Not on App Store",IF(E38="","Not on Google Play",IF(F38="","Price not shown",IF(AND(C38=E38,ABS(D38-F38)&lt;0.005),"Match",IF(C38&lt;&gt;E38,"Currency differs","Price differs")))))</f>
        <v>Price differs</v>
      </c>
      <c r="H38" s="205">
        <v>8990</v>
      </c>
    </row>
    <row r="39" spans="1:8" x14ac:dyDescent="0.75">
      <c r="A39" s="201">
        <v>34</v>
      </c>
      <c r="B39" s="202" t="s">
        <v>181</v>
      </c>
      <c r="C39" s="203" t="s">
        <v>357</v>
      </c>
      <c r="D39" s="204">
        <v>19900</v>
      </c>
      <c r="E39" s="203" t="s">
        <v>357</v>
      </c>
      <c r="F39" s="204">
        <v>19900</v>
      </c>
      <c r="G39" s="202" t="str">
        <f t="shared" si="1"/>
        <v>Match</v>
      </c>
      <c r="H39" s="205"/>
    </row>
    <row r="40" spans="1:8" x14ac:dyDescent="0.75">
      <c r="A40" s="201">
        <v>35</v>
      </c>
      <c r="B40" s="202" t="s">
        <v>294</v>
      </c>
      <c r="C40" s="203"/>
      <c r="D40" s="204"/>
      <c r="E40" s="203" t="s">
        <v>347</v>
      </c>
      <c r="F40" s="204">
        <v>2.99</v>
      </c>
      <c r="G40" s="202" t="str">
        <f t="shared" si="1"/>
        <v>Not on App Store</v>
      </c>
      <c r="H40" s="205"/>
    </row>
    <row r="41" spans="1:8" x14ac:dyDescent="0.75">
      <c r="A41" s="201">
        <v>36</v>
      </c>
      <c r="B41" s="202" t="s">
        <v>295</v>
      </c>
      <c r="C41" s="203" t="s">
        <v>347</v>
      </c>
      <c r="D41" s="204">
        <v>3.99</v>
      </c>
      <c r="E41" s="203" t="s">
        <v>347</v>
      </c>
      <c r="F41" s="204">
        <v>2.99</v>
      </c>
      <c r="G41" s="202" t="str">
        <f t="shared" si="1"/>
        <v>Price differs</v>
      </c>
      <c r="H41" s="205"/>
    </row>
    <row r="42" spans="1:8" x14ac:dyDescent="0.75">
      <c r="A42" s="201">
        <v>37</v>
      </c>
      <c r="B42" s="202" t="s">
        <v>296</v>
      </c>
      <c r="C42" s="203" t="s">
        <v>347</v>
      </c>
      <c r="D42" s="204">
        <v>1.99</v>
      </c>
      <c r="E42" s="203" t="s">
        <v>347</v>
      </c>
      <c r="F42" s="204">
        <v>1.99</v>
      </c>
      <c r="G42" s="202" t="str">
        <f t="shared" si="1"/>
        <v>Match</v>
      </c>
      <c r="H42" s="205"/>
    </row>
    <row r="43" spans="1:8" x14ac:dyDescent="0.75">
      <c r="A43" s="201">
        <v>38</v>
      </c>
      <c r="B43" s="202" t="s">
        <v>183</v>
      </c>
      <c r="C43" s="203" t="s">
        <v>347</v>
      </c>
      <c r="D43" s="204">
        <v>7.99</v>
      </c>
      <c r="E43" s="203" t="s">
        <v>358</v>
      </c>
      <c r="F43" s="204">
        <v>3500</v>
      </c>
      <c r="G43" s="202" t="str">
        <f t="shared" si="1"/>
        <v>Currency differs</v>
      </c>
      <c r="H43" s="205">
        <v>3600</v>
      </c>
    </row>
    <row r="44" spans="1:8" x14ac:dyDescent="0.75">
      <c r="A44" s="201">
        <v>39</v>
      </c>
      <c r="B44" s="202" t="s">
        <v>36</v>
      </c>
      <c r="C44" s="203" t="s">
        <v>350</v>
      </c>
      <c r="D44" s="204">
        <v>7.99</v>
      </c>
      <c r="E44" s="203" t="s">
        <v>350</v>
      </c>
      <c r="F44" s="204">
        <v>7.99</v>
      </c>
      <c r="G44" s="202" t="str">
        <f t="shared" si="1"/>
        <v>Match</v>
      </c>
      <c r="H44" s="205"/>
    </row>
    <row r="45" spans="1:8" x14ac:dyDescent="0.75">
      <c r="A45" s="201">
        <v>40</v>
      </c>
      <c r="B45" s="202" t="s">
        <v>37</v>
      </c>
      <c r="C45" s="203" t="s">
        <v>350</v>
      </c>
      <c r="D45" s="204">
        <v>10.99</v>
      </c>
      <c r="E45" s="203" t="s">
        <v>350</v>
      </c>
      <c r="F45" s="204">
        <v>10.99</v>
      </c>
      <c r="G45" s="202" t="str">
        <f t="shared" si="1"/>
        <v>Match</v>
      </c>
      <c r="H45" s="205"/>
    </row>
    <row r="46" spans="1:8" x14ac:dyDescent="0.75">
      <c r="A46" s="201">
        <v>41</v>
      </c>
      <c r="B46" s="202" t="s">
        <v>298</v>
      </c>
      <c r="C46" s="203" t="s">
        <v>359</v>
      </c>
      <c r="D46" s="204">
        <v>199</v>
      </c>
      <c r="E46" s="203" t="s">
        <v>359</v>
      </c>
      <c r="F46" s="204">
        <v>199</v>
      </c>
      <c r="G46" s="202" t="str">
        <f t="shared" si="1"/>
        <v>Match</v>
      </c>
      <c r="H46" s="205"/>
    </row>
    <row r="47" spans="1:8" x14ac:dyDescent="0.75">
      <c r="A47" s="201">
        <v>42</v>
      </c>
      <c r="B47" s="202" t="s">
        <v>106</v>
      </c>
      <c r="C47" s="203" t="s">
        <v>347</v>
      </c>
      <c r="D47" s="204">
        <v>3.99</v>
      </c>
      <c r="E47" s="203" t="s">
        <v>360</v>
      </c>
      <c r="F47" s="204">
        <v>2100</v>
      </c>
      <c r="G47" s="202" t="str">
        <f t="shared" si="1"/>
        <v>Currency differs</v>
      </c>
      <c r="H47" s="205">
        <v>2300</v>
      </c>
    </row>
    <row r="48" spans="1:8" x14ac:dyDescent="0.75">
      <c r="A48" s="201">
        <v>43</v>
      </c>
      <c r="B48" s="202" t="s">
        <v>40</v>
      </c>
      <c r="C48" s="203" t="s">
        <v>361</v>
      </c>
      <c r="D48" s="204">
        <v>99</v>
      </c>
      <c r="E48" s="203" t="s">
        <v>361</v>
      </c>
      <c r="F48" s="204">
        <v>99</v>
      </c>
      <c r="G48" s="202" t="str">
        <f t="shared" si="1"/>
        <v>Match</v>
      </c>
      <c r="H48" s="205"/>
    </row>
    <row r="49" spans="1:8" x14ac:dyDescent="0.75">
      <c r="A49" s="201">
        <v>44</v>
      </c>
      <c r="B49" s="202" t="s">
        <v>300</v>
      </c>
      <c r="C49" s="203"/>
      <c r="D49" s="204"/>
      <c r="E49" s="203" t="s">
        <v>347</v>
      </c>
      <c r="F49" s="204">
        <v>3.99</v>
      </c>
      <c r="G49" s="202" t="str">
        <f t="shared" si="1"/>
        <v>Not on App Store</v>
      </c>
      <c r="H49" s="205"/>
    </row>
    <row r="50" spans="1:8" x14ac:dyDescent="0.75">
      <c r="A50" s="201">
        <v>45</v>
      </c>
      <c r="B50" s="202" t="s">
        <v>185</v>
      </c>
      <c r="C50" s="203" t="s">
        <v>347</v>
      </c>
      <c r="D50" s="204">
        <v>5.99</v>
      </c>
      <c r="E50" s="203" t="s">
        <v>347</v>
      </c>
      <c r="F50" s="204">
        <v>5.99</v>
      </c>
      <c r="G50" s="202" t="str">
        <f t="shared" si="1"/>
        <v>Match</v>
      </c>
      <c r="H50" s="205"/>
    </row>
    <row r="51" spans="1:8" x14ac:dyDescent="0.75">
      <c r="A51" s="201">
        <v>46</v>
      </c>
      <c r="B51" s="202" t="s">
        <v>186</v>
      </c>
      <c r="C51" s="203" t="s">
        <v>347</v>
      </c>
      <c r="D51" s="204">
        <v>7.99</v>
      </c>
      <c r="E51" s="203" t="s">
        <v>347</v>
      </c>
      <c r="F51" s="204">
        <v>7.99</v>
      </c>
      <c r="G51" s="202" t="str">
        <f t="shared" si="1"/>
        <v>Match</v>
      </c>
      <c r="H51" s="205"/>
    </row>
    <row r="52" spans="1:8" x14ac:dyDescent="0.75">
      <c r="A52" s="201">
        <v>47</v>
      </c>
      <c r="B52" s="202" t="s">
        <v>187</v>
      </c>
      <c r="C52" s="203" t="s">
        <v>347</v>
      </c>
      <c r="D52" s="204">
        <v>5.99</v>
      </c>
      <c r="E52" s="203" t="s">
        <v>347</v>
      </c>
      <c r="F52" s="204">
        <v>5.99</v>
      </c>
      <c r="G52" s="202" t="str">
        <f t="shared" si="1"/>
        <v>Match</v>
      </c>
      <c r="H52" s="205"/>
    </row>
    <row r="53" spans="1:8" x14ac:dyDescent="0.75">
      <c r="A53" s="201">
        <v>48</v>
      </c>
      <c r="B53" s="202" t="s">
        <v>107</v>
      </c>
      <c r="C53" s="203" t="s">
        <v>362</v>
      </c>
      <c r="D53" s="204">
        <v>299.99</v>
      </c>
      <c r="E53" s="203" t="s">
        <v>362</v>
      </c>
      <c r="F53" s="204">
        <v>299</v>
      </c>
      <c r="G53" s="202" t="str">
        <f t="shared" si="1"/>
        <v>Price differs</v>
      </c>
      <c r="H53" s="205"/>
    </row>
    <row r="54" spans="1:8" x14ac:dyDescent="0.75">
      <c r="A54" s="201">
        <v>49</v>
      </c>
      <c r="B54" s="202" t="s">
        <v>188</v>
      </c>
      <c r="C54" s="203" t="s">
        <v>347</v>
      </c>
      <c r="D54" s="204">
        <v>3.99</v>
      </c>
      <c r="E54" s="203" t="s">
        <v>347</v>
      </c>
      <c r="F54" s="204">
        <v>3.99</v>
      </c>
      <c r="G54" s="202" t="str">
        <f t="shared" si="1"/>
        <v>Match</v>
      </c>
      <c r="H54" s="205"/>
    </row>
    <row r="55" spans="1:8" x14ac:dyDescent="0.75">
      <c r="A55" s="201">
        <v>50</v>
      </c>
      <c r="B55" s="202" t="s">
        <v>301</v>
      </c>
      <c r="C55" s="203"/>
      <c r="D55" s="204"/>
      <c r="E55" s="203" t="s">
        <v>347</v>
      </c>
      <c r="F55" s="204">
        <v>1.99</v>
      </c>
      <c r="G55" s="202" t="str">
        <f t="shared" si="1"/>
        <v>Not on App Store</v>
      </c>
      <c r="H55" s="205"/>
    </row>
    <row r="56" spans="1:8" x14ac:dyDescent="0.75">
      <c r="A56" s="201">
        <v>51</v>
      </c>
      <c r="B56" s="202" t="s">
        <v>42</v>
      </c>
      <c r="C56" s="203" t="s">
        <v>350</v>
      </c>
      <c r="D56" s="204">
        <v>7.99</v>
      </c>
      <c r="E56" s="203" t="s">
        <v>350</v>
      </c>
      <c r="F56" s="204">
        <v>7.99</v>
      </c>
      <c r="G56" s="202" t="str">
        <f t="shared" si="1"/>
        <v>Match</v>
      </c>
      <c r="H56" s="205"/>
    </row>
    <row r="57" spans="1:8" x14ac:dyDescent="0.75">
      <c r="A57" s="201">
        <v>52</v>
      </c>
      <c r="B57" s="202" t="s">
        <v>220</v>
      </c>
      <c r="C57" s="203" t="s">
        <v>347</v>
      </c>
      <c r="D57" s="204">
        <v>5.99</v>
      </c>
      <c r="E57" s="203" t="s">
        <v>347</v>
      </c>
      <c r="F57" s="204">
        <v>5.99</v>
      </c>
      <c r="G57" s="202" t="str">
        <f t="shared" si="1"/>
        <v>Match</v>
      </c>
      <c r="H57" s="205"/>
    </row>
    <row r="58" spans="1:8" x14ac:dyDescent="0.75">
      <c r="A58" s="201">
        <v>53</v>
      </c>
      <c r="B58" s="202" t="s">
        <v>43</v>
      </c>
      <c r="C58" s="203" t="s">
        <v>350</v>
      </c>
      <c r="D58" s="204">
        <v>10.99</v>
      </c>
      <c r="E58" s="203" t="s">
        <v>350</v>
      </c>
      <c r="F58" s="204">
        <v>10.99</v>
      </c>
      <c r="G58" s="202" t="str">
        <f t="shared" si="1"/>
        <v>Match</v>
      </c>
      <c r="H58" s="205"/>
    </row>
    <row r="59" spans="1:8" x14ac:dyDescent="0.75">
      <c r="A59" s="201">
        <v>54</v>
      </c>
      <c r="B59" s="202" t="s">
        <v>44</v>
      </c>
      <c r="C59" s="203" t="s">
        <v>350</v>
      </c>
      <c r="D59" s="204">
        <v>12.99</v>
      </c>
      <c r="E59" s="203" t="s">
        <v>350</v>
      </c>
      <c r="F59" s="204">
        <v>12.99</v>
      </c>
      <c r="G59" s="202" t="str">
        <f t="shared" si="1"/>
        <v>Match</v>
      </c>
      <c r="H59" s="205"/>
    </row>
    <row r="60" spans="1:8" x14ac:dyDescent="0.75">
      <c r="A60" s="201">
        <v>55</v>
      </c>
      <c r="B60" s="202" t="s">
        <v>110</v>
      </c>
      <c r="C60" s="203" t="s">
        <v>347</v>
      </c>
      <c r="D60" s="204">
        <v>4.99</v>
      </c>
      <c r="E60" s="203" t="s">
        <v>350</v>
      </c>
      <c r="F60" s="204">
        <v>4.99</v>
      </c>
      <c r="G60" s="202" t="str">
        <f t="shared" si="1"/>
        <v>Currency differs</v>
      </c>
      <c r="H60" s="205"/>
    </row>
    <row r="61" spans="1:8" x14ac:dyDescent="0.75">
      <c r="A61" s="201">
        <v>56</v>
      </c>
      <c r="B61" s="202" t="s">
        <v>112</v>
      </c>
      <c r="C61" s="203" t="s">
        <v>347</v>
      </c>
      <c r="D61" s="204">
        <v>1.99</v>
      </c>
      <c r="E61" s="203" t="s">
        <v>347</v>
      </c>
      <c r="F61" s="204">
        <v>1.99</v>
      </c>
      <c r="G61" s="202" t="str">
        <f t="shared" si="1"/>
        <v>Match</v>
      </c>
      <c r="H61" s="205"/>
    </row>
    <row r="62" spans="1:8" x14ac:dyDescent="0.75">
      <c r="A62" s="201">
        <v>57</v>
      </c>
      <c r="B62" s="202" t="s">
        <v>113</v>
      </c>
      <c r="C62" s="203" t="s">
        <v>347</v>
      </c>
      <c r="D62" s="204">
        <v>8.99</v>
      </c>
      <c r="E62" s="203" t="s">
        <v>363</v>
      </c>
      <c r="F62" s="204">
        <v>24</v>
      </c>
      <c r="G62" s="202" t="str">
        <f t="shared" si="1"/>
        <v>Currency differs</v>
      </c>
      <c r="H62" s="205"/>
    </row>
    <row r="63" spans="1:8" x14ac:dyDescent="0.75">
      <c r="A63" s="201">
        <v>58</v>
      </c>
      <c r="B63" s="202" t="s">
        <v>45</v>
      </c>
      <c r="C63" s="203" t="s">
        <v>350</v>
      </c>
      <c r="D63" s="204">
        <v>12.99</v>
      </c>
      <c r="E63" s="203" t="s">
        <v>350</v>
      </c>
      <c r="F63" s="204">
        <v>12.99</v>
      </c>
      <c r="G63" s="202" t="str">
        <f t="shared" si="1"/>
        <v>Match</v>
      </c>
      <c r="H63" s="205"/>
    </row>
    <row r="64" spans="1:8" x14ac:dyDescent="0.75">
      <c r="A64" s="201">
        <v>59</v>
      </c>
      <c r="B64" s="202" t="s">
        <v>115</v>
      </c>
      <c r="C64" s="203" t="s">
        <v>347</v>
      </c>
      <c r="D64" s="204">
        <v>3.99</v>
      </c>
      <c r="E64" s="203" t="s">
        <v>364</v>
      </c>
      <c r="F64" s="204">
        <v>43</v>
      </c>
      <c r="G64" s="202" t="str">
        <f t="shared" si="1"/>
        <v>Currency differs</v>
      </c>
      <c r="H64" s="205"/>
    </row>
    <row r="65" spans="1:8" x14ac:dyDescent="0.75">
      <c r="A65" s="201">
        <v>60</v>
      </c>
      <c r="B65" s="202" t="s">
        <v>304</v>
      </c>
      <c r="C65" s="203"/>
      <c r="D65" s="204"/>
      <c r="E65" s="203" t="s">
        <v>365</v>
      </c>
      <c r="F65" s="204">
        <v>7.99</v>
      </c>
      <c r="G65" s="202" t="str">
        <f t="shared" si="1"/>
        <v>Not on App Store</v>
      </c>
      <c r="H65" s="205"/>
    </row>
    <row r="66" spans="1:8" x14ac:dyDescent="0.75">
      <c r="A66" s="201">
        <v>61</v>
      </c>
      <c r="B66" s="202" t="s">
        <v>46</v>
      </c>
      <c r="C66" s="203" t="s">
        <v>350</v>
      </c>
      <c r="D66" s="204">
        <v>7.99</v>
      </c>
      <c r="E66" s="203" t="s">
        <v>350</v>
      </c>
      <c r="F66" s="204">
        <v>7.99</v>
      </c>
      <c r="G66" s="202" t="str">
        <f t="shared" si="1"/>
        <v>Match</v>
      </c>
      <c r="H66" s="205"/>
    </row>
    <row r="67" spans="1:8" x14ac:dyDescent="0.75">
      <c r="A67" s="201">
        <v>62</v>
      </c>
      <c r="B67" s="202" t="s">
        <v>189</v>
      </c>
      <c r="C67" s="203" t="s">
        <v>347</v>
      </c>
      <c r="D67" s="204">
        <v>5.99</v>
      </c>
      <c r="E67" s="203" t="s">
        <v>347</v>
      </c>
      <c r="F67" s="204">
        <v>5.99</v>
      </c>
      <c r="G67" s="202" t="str">
        <f t="shared" si="1"/>
        <v>Match</v>
      </c>
      <c r="H67" s="205"/>
    </row>
    <row r="68" spans="1:8" x14ac:dyDescent="0.75">
      <c r="A68" s="201">
        <v>63</v>
      </c>
      <c r="B68" s="202" t="s">
        <v>190</v>
      </c>
      <c r="C68" s="203" t="s">
        <v>347</v>
      </c>
      <c r="D68" s="204">
        <v>5.99</v>
      </c>
      <c r="E68" s="203" t="s">
        <v>347</v>
      </c>
      <c r="F68" s="204">
        <v>5.99</v>
      </c>
      <c r="G68" s="202" t="str">
        <f t="shared" si="1"/>
        <v>Match</v>
      </c>
      <c r="H68" s="205"/>
    </row>
    <row r="69" spans="1:8" x14ac:dyDescent="0.75">
      <c r="A69" s="201">
        <v>64</v>
      </c>
      <c r="B69" s="202" t="s">
        <v>305</v>
      </c>
      <c r="C69" s="203"/>
      <c r="D69" s="204"/>
      <c r="E69" s="203" t="s">
        <v>347</v>
      </c>
      <c r="F69" s="204">
        <v>2.99</v>
      </c>
      <c r="G69" s="202" t="str">
        <f t="shared" si="1"/>
        <v>Not on App Store</v>
      </c>
      <c r="H69" s="205"/>
    </row>
    <row r="70" spans="1:8" x14ac:dyDescent="0.75">
      <c r="A70" s="201">
        <v>65</v>
      </c>
      <c r="B70" s="202" t="s">
        <v>117</v>
      </c>
      <c r="C70" s="203" t="s">
        <v>347</v>
      </c>
      <c r="D70" s="204">
        <v>1.99</v>
      </c>
      <c r="E70" s="203" t="s">
        <v>350</v>
      </c>
      <c r="F70" s="204">
        <v>1.99</v>
      </c>
      <c r="G70" s="202" t="str">
        <f t="shared" ref="G70:G101" si="2">IF(C70="","Not on App Store",IF(E70="","Not on Google Play",IF(F70="","Price not shown",IF(AND(C70=E70,ABS(D70-F70)&lt;0.005),"Match",IF(C70&lt;&gt;E70,"Currency differs","Price differs")))))</f>
        <v>Currency differs</v>
      </c>
      <c r="H70" s="205"/>
    </row>
    <row r="71" spans="1:8" x14ac:dyDescent="0.75">
      <c r="A71" s="201">
        <v>66</v>
      </c>
      <c r="B71" s="202" t="s">
        <v>306</v>
      </c>
      <c r="C71" s="203"/>
      <c r="D71" s="204"/>
      <c r="E71" s="203" t="s">
        <v>347</v>
      </c>
      <c r="F71" s="204">
        <v>1.99</v>
      </c>
      <c r="G71" s="202" t="str">
        <f t="shared" si="2"/>
        <v>Not on App Store</v>
      </c>
      <c r="H71" s="205"/>
    </row>
    <row r="72" spans="1:8" x14ac:dyDescent="0.75">
      <c r="A72" s="201">
        <v>67</v>
      </c>
      <c r="B72" s="202" t="s">
        <v>192</v>
      </c>
      <c r="C72" s="203" t="s">
        <v>347</v>
      </c>
      <c r="D72" s="204">
        <v>2.99</v>
      </c>
      <c r="E72" s="203" t="s">
        <v>347</v>
      </c>
      <c r="F72" s="204">
        <v>2.99</v>
      </c>
      <c r="G72" s="202" t="str">
        <f t="shared" si="2"/>
        <v>Match</v>
      </c>
      <c r="H72" s="205"/>
    </row>
    <row r="73" spans="1:8" x14ac:dyDescent="0.75">
      <c r="A73" s="201">
        <v>68</v>
      </c>
      <c r="B73" s="202" t="s">
        <v>221</v>
      </c>
      <c r="C73" s="203" t="s">
        <v>366</v>
      </c>
      <c r="D73" s="204">
        <v>98</v>
      </c>
      <c r="E73" s="203" t="s">
        <v>366</v>
      </c>
      <c r="F73" s="204">
        <v>98</v>
      </c>
      <c r="G73" s="202" t="str">
        <f t="shared" si="2"/>
        <v>Match</v>
      </c>
      <c r="H73" s="205"/>
    </row>
    <row r="74" spans="1:8" x14ac:dyDescent="0.75">
      <c r="A74" s="201">
        <v>69</v>
      </c>
      <c r="B74" s="202" t="s">
        <v>47</v>
      </c>
      <c r="C74" s="203" t="s">
        <v>367</v>
      </c>
      <c r="D74" s="204">
        <v>2990</v>
      </c>
      <c r="E74" s="203" t="s">
        <v>367</v>
      </c>
      <c r="F74" s="204">
        <v>2900</v>
      </c>
      <c r="G74" s="202" t="str">
        <f t="shared" si="2"/>
        <v>Price differs</v>
      </c>
      <c r="H74" s="205">
        <v>2990</v>
      </c>
    </row>
    <row r="75" spans="1:8" x14ac:dyDescent="0.75">
      <c r="A75" s="201">
        <v>70</v>
      </c>
      <c r="B75" s="202" t="s">
        <v>49</v>
      </c>
      <c r="C75" s="203" t="s">
        <v>347</v>
      </c>
      <c r="D75" s="204">
        <v>14.99</v>
      </c>
      <c r="E75" s="203" t="s">
        <v>350</v>
      </c>
      <c r="F75" s="204">
        <v>12.99</v>
      </c>
      <c r="G75" s="202" t="str">
        <f t="shared" si="2"/>
        <v>Currency differs</v>
      </c>
      <c r="H75" s="205"/>
    </row>
    <row r="76" spans="1:8" x14ac:dyDescent="0.75">
      <c r="A76" s="201">
        <v>71</v>
      </c>
      <c r="B76" s="202" t="s">
        <v>118</v>
      </c>
      <c r="C76" s="203" t="s">
        <v>368</v>
      </c>
      <c r="D76" s="204">
        <v>499</v>
      </c>
      <c r="E76" s="203" t="s">
        <v>368</v>
      </c>
      <c r="F76" s="204">
        <v>499</v>
      </c>
      <c r="G76" s="202" t="str">
        <f t="shared" si="2"/>
        <v>Match</v>
      </c>
      <c r="H76" s="205"/>
    </row>
    <row r="77" spans="1:8" x14ac:dyDescent="0.75">
      <c r="A77" s="201">
        <v>72</v>
      </c>
      <c r="B77" s="202" t="s">
        <v>223</v>
      </c>
      <c r="C77" s="203" t="s">
        <v>369</v>
      </c>
      <c r="D77" s="204">
        <v>99000</v>
      </c>
      <c r="E77" s="203" t="s">
        <v>369</v>
      </c>
      <c r="F77" s="204">
        <v>99000</v>
      </c>
      <c r="G77" s="202" t="str">
        <f t="shared" si="2"/>
        <v>Match</v>
      </c>
      <c r="H77" s="205"/>
    </row>
    <row r="78" spans="1:8" x14ac:dyDescent="0.75">
      <c r="A78" s="201">
        <v>73</v>
      </c>
      <c r="B78" s="202" t="s">
        <v>120</v>
      </c>
      <c r="C78" s="203" t="s">
        <v>347</v>
      </c>
      <c r="D78" s="204">
        <v>5.99</v>
      </c>
      <c r="E78" s="203" t="s">
        <v>370</v>
      </c>
      <c r="F78" s="204">
        <v>7500</v>
      </c>
      <c r="G78" s="202" t="str">
        <f t="shared" si="2"/>
        <v>Currency differs</v>
      </c>
      <c r="H78" s="205">
        <v>7900</v>
      </c>
    </row>
    <row r="79" spans="1:8" x14ac:dyDescent="0.75">
      <c r="A79" s="201">
        <v>74</v>
      </c>
      <c r="B79" s="202" t="s">
        <v>51</v>
      </c>
      <c r="C79" s="203" t="s">
        <v>350</v>
      </c>
      <c r="D79" s="204">
        <v>14.99</v>
      </c>
      <c r="E79" s="203" t="s">
        <v>350</v>
      </c>
      <c r="F79" s="204">
        <v>14.99</v>
      </c>
      <c r="G79" s="202" t="str">
        <f t="shared" si="2"/>
        <v>Match</v>
      </c>
      <c r="H79" s="205"/>
    </row>
    <row r="80" spans="1:8" x14ac:dyDescent="0.75">
      <c r="A80" s="201">
        <v>75</v>
      </c>
      <c r="B80" s="202" t="s">
        <v>122</v>
      </c>
      <c r="C80" s="203" t="s">
        <v>371</v>
      </c>
      <c r="D80" s="204">
        <v>29.9</v>
      </c>
      <c r="E80" s="203" t="s">
        <v>371</v>
      </c>
      <c r="F80" s="204">
        <v>29.9</v>
      </c>
      <c r="G80" s="202" t="str">
        <f t="shared" si="2"/>
        <v>Match</v>
      </c>
      <c r="H80" s="205"/>
    </row>
    <row r="81" spans="1:8" x14ac:dyDescent="0.75">
      <c r="A81" s="201">
        <v>76</v>
      </c>
      <c r="B81" s="202" t="s">
        <v>52</v>
      </c>
      <c r="C81" s="203" t="s">
        <v>350</v>
      </c>
      <c r="D81" s="204">
        <v>10.99</v>
      </c>
      <c r="E81" s="203" t="s">
        <v>350</v>
      </c>
      <c r="F81" s="204">
        <v>10.99</v>
      </c>
      <c r="G81" s="202" t="str">
        <f t="shared" si="2"/>
        <v>Match</v>
      </c>
      <c r="H81" s="205"/>
    </row>
    <row r="82" spans="1:8" x14ac:dyDescent="0.75">
      <c r="A82" s="201">
        <v>77</v>
      </c>
      <c r="B82" s="202" t="s">
        <v>193</v>
      </c>
      <c r="C82" s="203" t="s">
        <v>347</v>
      </c>
      <c r="D82" s="204">
        <v>3.99</v>
      </c>
      <c r="E82" s="203" t="s">
        <v>347</v>
      </c>
      <c r="F82" s="204">
        <v>3.99</v>
      </c>
      <c r="G82" s="202" t="str">
        <f t="shared" si="2"/>
        <v>Match</v>
      </c>
      <c r="H82" s="205"/>
    </row>
    <row r="83" spans="1:8" x14ac:dyDescent="0.75">
      <c r="A83" s="201">
        <v>78</v>
      </c>
      <c r="B83" s="202" t="s">
        <v>225</v>
      </c>
      <c r="C83" s="203" t="s">
        <v>372</v>
      </c>
      <c r="D83" s="204">
        <v>1800</v>
      </c>
      <c r="E83" s="203" t="s">
        <v>372</v>
      </c>
      <c r="F83" s="204">
        <v>1800</v>
      </c>
      <c r="G83" s="202" t="str">
        <f t="shared" si="2"/>
        <v>Match</v>
      </c>
      <c r="H83" s="205"/>
    </row>
    <row r="84" spans="1:8" x14ac:dyDescent="0.75">
      <c r="A84" s="201">
        <v>79</v>
      </c>
      <c r="B84" s="202" t="s">
        <v>124</v>
      </c>
      <c r="C84" s="203" t="s">
        <v>347</v>
      </c>
      <c r="D84" s="204">
        <v>3.99</v>
      </c>
      <c r="E84" s="203" t="s">
        <v>373</v>
      </c>
      <c r="F84" s="204">
        <v>2.99</v>
      </c>
      <c r="G84" s="202" t="str">
        <f t="shared" si="2"/>
        <v>Currency differs</v>
      </c>
      <c r="H84" s="205"/>
    </row>
    <row r="85" spans="1:8" x14ac:dyDescent="0.75">
      <c r="A85" s="201">
        <v>80</v>
      </c>
      <c r="B85" s="202" t="s">
        <v>227</v>
      </c>
      <c r="C85" s="203" t="s">
        <v>374</v>
      </c>
      <c r="D85" s="204">
        <v>4990</v>
      </c>
      <c r="E85" s="203" t="s">
        <v>374</v>
      </c>
      <c r="F85" s="204">
        <v>5000</v>
      </c>
      <c r="G85" s="202" t="str">
        <f t="shared" si="2"/>
        <v>Price differs</v>
      </c>
      <c r="H85" s="205">
        <v>4990</v>
      </c>
    </row>
    <row r="86" spans="1:8" x14ac:dyDescent="0.75">
      <c r="A86" s="201">
        <v>81</v>
      </c>
      <c r="B86" s="202" t="s">
        <v>126</v>
      </c>
      <c r="C86" s="203" t="s">
        <v>347</v>
      </c>
      <c r="D86" s="204">
        <v>3.99</v>
      </c>
      <c r="E86" s="203" t="s">
        <v>375</v>
      </c>
      <c r="F86" s="204">
        <v>470</v>
      </c>
      <c r="G86" s="202" t="str">
        <f t="shared" si="2"/>
        <v>Currency differs</v>
      </c>
      <c r="H86" s="205">
        <v>499</v>
      </c>
    </row>
    <row r="87" spans="1:8" x14ac:dyDescent="0.75">
      <c r="A87" s="201">
        <v>82</v>
      </c>
      <c r="B87" s="202" t="s">
        <v>128</v>
      </c>
      <c r="C87" s="203" t="s">
        <v>347</v>
      </c>
      <c r="D87" s="204">
        <v>9.99</v>
      </c>
      <c r="E87" s="203" t="s">
        <v>347</v>
      </c>
      <c r="F87" s="204">
        <v>9.99</v>
      </c>
      <c r="G87" s="202" t="str">
        <f t="shared" si="2"/>
        <v>Match</v>
      </c>
      <c r="H87" s="205"/>
    </row>
    <row r="88" spans="1:8" x14ac:dyDescent="0.75">
      <c r="A88" s="201">
        <v>83</v>
      </c>
      <c r="B88" s="202" t="s">
        <v>231</v>
      </c>
      <c r="C88" s="203" t="s">
        <v>347</v>
      </c>
      <c r="D88" s="204">
        <v>4.99</v>
      </c>
      <c r="E88" s="203" t="s">
        <v>347</v>
      </c>
      <c r="F88" s="204">
        <v>3.99</v>
      </c>
      <c r="G88" s="202" t="str">
        <f t="shared" si="2"/>
        <v>Price differs</v>
      </c>
      <c r="H88" s="205"/>
    </row>
    <row r="89" spans="1:8" x14ac:dyDescent="0.75">
      <c r="A89" s="201">
        <v>84</v>
      </c>
      <c r="B89" s="202" t="s">
        <v>232</v>
      </c>
      <c r="C89" s="203" t="s">
        <v>347</v>
      </c>
      <c r="D89" s="204">
        <v>4.99</v>
      </c>
      <c r="E89" s="203" t="s">
        <v>347</v>
      </c>
      <c r="F89" s="204">
        <v>3.99</v>
      </c>
      <c r="G89" s="202" t="str">
        <f t="shared" si="2"/>
        <v>Price differs</v>
      </c>
      <c r="H89" s="205"/>
    </row>
    <row r="90" spans="1:8" x14ac:dyDescent="0.75">
      <c r="A90" s="201">
        <v>85</v>
      </c>
      <c r="B90" s="202" t="s">
        <v>55</v>
      </c>
      <c r="C90" s="203" t="s">
        <v>350</v>
      </c>
      <c r="D90" s="204">
        <v>7.99</v>
      </c>
      <c r="E90" s="203" t="s">
        <v>350</v>
      </c>
      <c r="F90" s="204">
        <v>7.99</v>
      </c>
      <c r="G90" s="202" t="str">
        <f t="shared" si="2"/>
        <v>Match</v>
      </c>
      <c r="H90" s="205"/>
    </row>
    <row r="91" spans="1:8" x14ac:dyDescent="0.75">
      <c r="A91" s="201">
        <v>86</v>
      </c>
      <c r="B91" s="202" t="s">
        <v>129</v>
      </c>
      <c r="C91" s="203" t="s">
        <v>347</v>
      </c>
      <c r="D91" s="204">
        <v>3.99</v>
      </c>
      <c r="E91" s="203" t="s">
        <v>347</v>
      </c>
      <c r="F91" s="204">
        <v>3.99</v>
      </c>
      <c r="G91" s="202" t="str">
        <f t="shared" si="2"/>
        <v>Match</v>
      </c>
      <c r="H91" s="205"/>
    </row>
    <row r="92" spans="1:8" x14ac:dyDescent="0.75">
      <c r="A92" s="201">
        <v>87</v>
      </c>
      <c r="B92" s="202" t="s">
        <v>130</v>
      </c>
      <c r="C92" s="203" t="s">
        <v>347</v>
      </c>
      <c r="D92" s="204">
        <v>1.99</v>
      </c>
      <c r="E92" s="203" t="s">
        <v>347</v>
      </c>
      <c r="F92" s="204">
        <v>1.99</v>
      </c>
      <c r="G92" s="202" t="str">
        <f t="shared" si="2"/>
        <v>Match</v>
      </c>
      <c r="H92" s="205"/>
    </row>
    <row r="93" spans="1:8" x14ac:dyDescent="0.75">
      <c r="A93" s="201">
        <v>88</v>
      </c>
      <c r="B93" s="202" t="s">
        <v>131</v>
      </c>
      <c r="C93" s="203" t="s">
        <v>347</v>
      </c>
      <c r="D93" s="204">
        <v>5.99</v>
      </c>
      <c r="E93" s="203" t="s">
        <v>347</v>
      </c>
      <c r="F93" s="204">
        <v>5.99</v>
      </c>
      <c r="G93" s="202" t="str">
        <f t="shared" si="2"/>
        <v>Match</v>
      </c>
      <c r="H93" s="205"/>
    </row>
    <row r="94" spans="1:8" x14ac:dyDescent="0.75">
      <c r="A94" s="201">
        <v>89</v>
      </c>
      <c r="B94" s="202" t="s">
        <v>310</v>
      </c>
      <c r="C94" s="203"/>
      <c r="D94" s="204"/>
      <c r="E94" s="203" t="s">
        <v>376</v>
      </c>
      <c r="F94" s="204">
        <v>12</v>
      </c>
      <c r="G94" s="202" t="str">
        <f t="shared" si="2"/>
        <v>Not on App Store</v>
      </c>
      <c r="H94" s="205"/>
    </row>
    <row r="95" spans="1:8" x14ac:dyDescent="0.75">
      <c r="A95" s="201">
        <v>90</v>
      </c>
      <c r="B95" s="202" t="s">
        <v>56</v>
      </c>
      <c r="C95" s="203" t="s">
        <v>350</v>
      </c>
      <c r="D95" s="204">
        <v>10.99</v>
      </c>
      <c r="E95" s="203" t="s">
        <v>350</v>
      </c>
      <c r="F95" s="204">
        <v>10.99</v>
      </c>
      <c r="G95" s="202" t="str">
        <f t="shared" si="2"/>
        <v>Match</v>
      </c>
      <c r="H95" s="205"/>
    </row>
    <row r="96" spans="1:8" x14ac:dyDescent="0.75">
      <c r="A96" s="201">
        <v>91</v>
      </c>
      <c r="B96" s="202" t="s">
        <v>57</v>
      </c>
      <c r="C96" s="203" t="s">
        <v>350</v>
      </c>
      <c r="D96" s="204">
        <v>13.99</v>
      </c>
      <c r="E96" s="203" t="s">
        <v>350</v>
      </c>
      <c r="F96" s="204">
        <v>13.99</v>
      </c>
      <c r="G96" s="202" t="str">
        <f t="shared" si="2"/>
        <v>Match</v>
      </c>
      <c r="H96" s="205"/>
    </row>
    <row r="97" spans="1:8" x14ac:dyDescent="0.75">
      <c r="A97" s="201">
        <v>92</v>
      </c>
      <c r="B97" s="202" t="s">
        <v>311</v>
      </c>
      <c r="C97" s="203" t="s">
        <v>347</v>
      </c>
      <c r="D97" s="204">
        <v>13.99</v>
      </c>
      <c r="E97" s="203" t="s">
        <v>377</v>
      </c>
      <c r="F97" s="204">
        <v>98</v>
      </c>
      <c r="G97" s="202" t="str">
        <f t="shared" si="2"/>
        <v>Currency differs</v>
      </c>
      <c r="H97" s="205">
        <v>118</v>
      </c>
    </row>
    <row r="98" spans="1:8" x14ac:dyDescent="0.75">
      <c r="A98" s="201">
        <v>93</v>
      </c>
      <c r="B98" s="202" t="s">
        <v>235</v>
      </c>
      <c r="C98" s="203" t="s">
        <v>378</v>
      </c>
      <c r="D98" s="204">
        <v>39.9</v>
      </c>
      <c r="E98" s="203" t="s">
        <v>378</v>
      </c>
      <c r="F98" s="204">
        <v>39.99</v>
      </c>
      <c r="G98" s="202" t="str">
        <f t="shared" si="2"/>
        <v>Price differs</v>
      </c>
      <c r="H98" s="205">
        <v>39.9</v>
      </c>
    </row>
    <row r="99" spans="1:8" x14ac:dyDescent="0.75">
      <c r="A99" s="201">
        <v>94</v>
      </c>
      <c r="B99" s="202" t="s">
        <v>237</v>
      </c>
      <c r="C99" s="203" t="s">
        <v>347</v>
      </c>
      <c r="D99" s="204">
        <v>7.99</v>
      </c>
      <c r="E99" s="203" t="s">
        <v>347</v>
      </c>
      <c r="F99" s="204">
        <v>7.99</v>
      </c>
      <c r="G99" s="202" t="str">
        <f t="shared" si="2"/>
        <v>Match</v>
      </c>
      <c r="H99" s="205"/>
    </row>
    <row r="100" spans="1:8" x14ac:dyDescent="0.75">
      <c r="A100" s="201">
        <v>95</v>
      </c>
      <c r="B100" s="202" t="s">
        <v>134</v>
      </c>
      <c r="C100" s="203" t="s">
        <v>347</v>
      </c>
      <c r="D100" s="204">
        <v>1.99</v>
      </c>
      <c r="E100" s="203" t="s">
        <v>350</v>
      </c>
      <c r="F100" s="204">
        <v>1.99</v>
      </c>
      <c r="G100" s="202" t="str">
        <f t="shared" si="2"/>
        <v>Currency differs</v>
      </c>
      <c r="H100" s="205"/>
    </row>
    <row r="101" spans="1:8" x14ac:dyDescent="0.75">
      <c r="A101" s="201">
        <v>96</v>
      </c>
      <c r="B101" s="202" t="s">
        <v>58</v>
      </c>
      <c r="C101" s="203" t="s">
        <v>350</v>
      </c>
      <c r="D101" s="204">
        <v>10.99</v>
      </c>
      <c r="E101" s="203" t="s">
        <v>350</v>
      </c>
      <c r="F101" s="204">
        <v>10.99</v>
      </c>
      <c r="G101" s="202" t="str">
        <f t="shared" si="2"/>
        <v>Match</v>
      </c>
      <c r="H101" s="205"/>
    </row>
    <row r="102" spans="1:8" x14ac:dyDescent="0.75">
      <c r="A102" s="201">
        <v>97</v>
      </c>
      <c r="B102" s="202" t="s">
        <v>136</v>
      </c>
      <c r="C102" s="203" t="s">
        <v>347</v>
      </c>
      <c r="D102" s="204">
        <v>7.99</v>
      </c>
      <c r="E102" s="203" t="s">
        <v>347</v>
      </c>
      <c r="F102" s="204">
        <v>7.99</v>
      </c>
      <c r="G102" s="202" t="str">
        <f t="shared" ref="G102:G133" si="3">IF(C102="","Not on App Store",IF(E102="","Not on Google Play",IF(F102="","Price not shown",IF(AND(C102=E102,ABS(D102-F102)&lt;0.005),"Match",IF(C102&lt;&gt;E102,"Currency differs","Price differs")))))</f>
        <v>Match</v>
      </c>
      <c r="H102" s="205"/>
    </row>
    <row r="103" spans="1:8" x14ac:dyDescent="0.75">
      <c r="A103" s="201">
        <v>98</v>
      </c>
      <c r="B103" s="202" t="s">
        <v>194</v>
      </c>
      <c r="C103" s="203" t="s">
        <v>379</v>
      </c>
      <c r="D103" s="204">
        <v>49</v>
      </c>
      <c r="E103" s="203" t="s">
        <v>379</v>
      </c>
      <c r="F103" s="204">
        <v>149</v>
      </c>
      <c r="G103" s="202" t="str">
        <f t="shared" si="3"/>
        <v>Price differs</v>
      </c>
      <c r="H103" s="205" t="s">
        <v>380</v>
      </c>
    </row>
    <row r="104" spans="1:8" x14ac:dyDescent="0.75">
      <c r="A104" s="201">
        <v>99</v>
      </c>
      <c r="B104" s="202" t="s">
        <v>238</v>
      </c>
      <c r="C104" s="203" t="s">
        <v>347</v>
      </c>
      <c r="D104" s="204">
        <v>2.99</v>
      </c>
      <c r="E104" s="203" t="s">
        <v>347</v>
      </c>
      <c r="F104" s="204">
        <v>2.99</v>
      </c>
      <c r="G104" s="202" t="str">
        <f t="shared" si="3"/>
        <v>Match</v>
      </c>
      <c r="H104" s="205"/>
    </row>
    <row r="105" spans="1:8" x14ac:dyDescent="0.75">
      <c r="A105" s="201">
        <v>100</v>
      </c>
      <c r="B105" s="202" t="s">
        <v>59</v>
      </c>
      <c r="C105" s="203" t="s">
        <v>347</v>
      </c>
      <c r="D105" s="204">
        <v>6.99</v>
      </c>
      <c r="E105" s="203" t="s">
        <v>347</v>
      </c>
      <c r="F105" s="204">
        <v>6.99</v>
      </c>
      <c r="G105" s="202" t="str">
        <f t="shared" si="3"/>
        <v>Match</v>
      </c>
      <c r="H105" s="205"/>
    </row>
    <row r="106" spans="1:8" x14ac:dyDescent="0.75">
      <c r="A106" s="201">
        <v>101</v>
      </c>
      <c r="B106" s="202" t="s">
        <v>313</v>
      </c>
      <c r="C106" s="203"/>
      <c r="D106" s="204"/>
      <c r="E106" s="203" t="s">
        <v>350</v>
      </c>
      <c r="F106" s="204">
        <v>13.99</v>
      </c>
      <c r="G106" s="202" t="str">
        <f t="shared" si="3"/>
        <v>Not on App Store</v>
      </c>
      <c r="H106" s="205"/>
    </row>
    <row r="107" spans="1:8" x14ac:dyDescent="0.75">
      <c r="A107" s="201">
        <v>102</v>
      </c>
      <c r="B107" s="202" t="s">
        <v>239</v>
      </c>
      <c r="C107" s="203" t="s">
        <v>347</v>
      </c>
      <c r="D107" s="204">
        <v>5.99</v>
      </c>
      <c r="E107" s="203" t="s">
        <v>381</v>
      </c>
      <c r="F107" s="204">
        <v>20000</v>
      </c>
      <c r="G107" s="202" t="str">
        <f t="shared" si="3"/>
        <v>Currency differs</v>
      </c>
      <c r="H107" s="205"/>
    </row>
    <row r="108" spans="1:8" x14ac:dyDescent="0.75">
      <c r="A108" s="201">
        <v>103</v>
      </c>
      <c r="B108" s="202" t="s">
        <v>137</v>
      </c>
      <c r="C108" s="203" t="s">
        <v>347</v>
      </c>
      <c r="D108" s="204">
        <v>4.99</v>
      </c>
      <c r="E108" s="203" t="s">
        <v>382</v>
      </c>
      <c r="F108" s="204">
        <v>49.99</v>
      </c>
      <c r="G108" s="202" t="str">
        <f t="shared" si="3"/>
        <v>Currency differs</v>
      </c>
      <c r="H108" s="205"/>
    </row>
    <row r="109" spans="1:8" x14ac:dyDescent="0.75">
      <c r="A109" s="201">
        <v>104</v>
      </c>
      <c r="B109" s="202" t="s">
        <v>139</v>
      </c>
      <c r="C109" s="203" t="s">
        <v>347</v>
      </c>
      <c r="D109" s="204">
        <v>1.99</v>
      </c>
      <c r="E109" s="203" t="s">
        <v>347</v>
      </c>
      <c r="F109" s="204">
        <v>1.99</v>
      </c>
      <c r="G109" s="202" t="str">
        <f t="shared" si="3"/>
        <v>Match</v>
      </c>
      <c r="H109" s="205"/>
    </row>
    <row r="110" spans="1:8" x14ac:dyDescent="0.75">
      <c r="A110" s="201">
        <v>105</v>
      </c>
      <c r="B110" s="202" t="s">
        <v>316</v>
      </c>
      <c r="C110" s="203" t="s">
        <v>347</v>
      </c>
      <c r="D110" s="204">
        <v>2.99</v>
      </c>
      <c r="E110" s="203" t="s">
        <v>383</v>
      </c>
      <c r="F110" s="204">
        <v>6500</v>
      </c>
      <c r="G110" s="202" t="str">
        <f t="shared" si="3"/>
        <v>Currency differs</v>
      </c>
      <c r="H110" s="205">
        <v>6300</v>
      </c>
    </row>
    <row r="111" spans="1:8" x14ac:dyDescent="0.75">
      <c r="A111" s="201">
        <v>106</v>
      </c>
      <c r="B111" s="202" t="s">
        <v>140</v>
      </c>
      <c r="C111" s="203" t="s">
        <v>347</v>
      </c>
      <c r="D111" s="204">
        <v>3.99</v>
      </c>
      <c r="E111" s="203" t="s">
        <v>347</v>
      </c>
      <c r="F111" s="204">
        <v>3.99</v>
      </c>
      <c r="G111" s="202" t="str">
        <f t="shared" si="3"/>
        <v>Match</v>
      </c>
      <c r="H111" s="205"/>
    </row>
    <row r="112" spans="1:8" x14ac:dyDescent="0.75">
      <c r="A112" s="201">
        <v>107</v>
      </c>
      <c r="B112" s="202" t="s">
        <v>244</v>
      </c>
      <c r="C112" s="203" t="s">
        <v>347</v>
      </c>
      <c r="D112" s="204">
        <v>2.99</v>
      </c>
      <c r="E112" s="203" t="s">
        <v>347</v>
      </c>
      <c r="F112" s="204">
        <v>2.99</v>
      </c>
      <c r="G112" s="202" t="str">
        <f t="shared" si="3"/>
        <v>Match</v>
      </c>
      <c r="H112" s="205"/>
    </row>
    <row r="113" spans="1:8" x14ac:dyDescent="0.75">
      <c r="A113" s="201">
        <v>108</v>
      </c>
      <c r="B113" s="202" t="s">
        <v>61</v>
      </c>
      <c r="C113" s="203" t="s">
        <v>350</v>
      </c>
      <c r="D113" s="204">
        <v>12.99</v>
      </c>
      <c r="E113" s="203" t="s">
        <v>350</v>
      </c>
      <c r="F113" s="204">
        <v>12.99</v>
      </c>
      <c r="G113" s="202" t="str">
        <f t="shared" si="3"/>
        <v>Match</v>
      </c>
      <c r="H113" s="205"/>
    </row>
    <row r="114" spans="1:8" x14ac:dyDescent="0.75">
      <c r="A114" s="201">
        <v>109</v>
      </c>
      <c r="B114" s="202" t="s">
        <v>245</v>
      </c>
      <c r="C114" s="203" t="s">
        <v>384</v>
      </c>
      <c r="D114" s="204">
        <v>15.99</v>
      </c>
      <c r="E114" s="203" t="s">
        <v>384</v>
      </c>
      <c r="F114" s="204">
        <v>15.99</v>
      </c>
      <c r="G114" s="202" t="str">
        <f t="shared" si="3"/>
        <v>Match</v>
      </c>
      <c r="H114" s="205"/>
    </row>
    <row r="115" spans="1:8" x14ac:dyDescent="0.75">
      <c r="A115" s="201">
        <v>110</v>
      </c>
      <c r="B115" s="202" t="s">
        <v>197</v>
      </c>
      <c r="C115" s="203" t="s">
        <v>347</v>
      </c>
      <c r="D115" s="204">
        <v>3.99</v>
      </c>
      <c r="E115" s="203" t="s">
        <v>347</v>
      </c>
      <c r="F115" s="204">
        <v>3.99</v>
      </c>
      <c r="G115" s="202" t="str">
        <f t="shared" si="3"/>
        <v>Match</v>
      </c>
      <c r="H115" s="205"/>
    </row>
    <row r="116" spans="1:8" x14ac:dyDescent="0.75">
      <c r="A116" s="201">
        <v>111</v>
      </c>
      <c r="B116" s="202" t="s">
        <v>141</v>
      </c>
      <c r="C116" s="203" t="s">
        <v>347</v>
      </c>
      <c r="D116" s="204">
        <v>1.99</v>
      </c>
      <c r="E116" s="203" t="s">
        <v>350</v>
      </c>
      <c r="F116" s="204">
        <v>1.99</v>
      </c>
      <c r="G116" s="202" t="str">
        <f t="shared" si="3"/>
        <v>Currency differs</v>
      </c>
      <c r="H116" s="205"/>
    </row>
    <row r="117" spans="1:8" x14ac:dyDescent="0.75">
      <c r="A117" s="201">
        <v>112</v>
      </c>
      <c r="B117" s="202" t="s">
        <v>142</v>
      </c>
      <c r="C117" s="203" t="s">
        <v>385</v>
      </c>
      <c r="D117" s="204">
        <v>5900</v>
      </c>
      <c r="E117" s="203" t="s">
        <v>385</v>
      </c>
      <c r="F117" s="204">
        <v>6000</v>
      </c>
      <c r="G117" s="202" t="str">
        <f t="shared" si="3"/>
        <v>Price differs</v>
      </c>
      <c r="H117" s="205">
        <v>5900</v>
      </c>
    </row>
    <row r="118" spans="1:8" x14ac:dyDescent="0.75">
      <c r="A118" s="201">
        <v>113</v>
      </c>
      <c r="B118" s="202" t="s">
        <v>62</v>
      </c>
      <c r="C118" s="203" t="s">
        <v>347</v>
      </c>
      <c r="D118" s="204">
        <v>7.99</v>
      </c>
      <c r="E118" s="203" t="s">
        <v>347</v>
      </c>
      <c r="F118" s="204">
        <v>8.99</v>
      </c>
      <c r="G118" s="202" t="str">
        <f t="shared" si="3"/>
        <v>Price differs</v>
      </c>
      <c r="H118" s="205"/>
    </row>
    <row r="119" spans="1:8" x14ac:dyDescent="0.75">
      <c r="A119" s="201">
        <v>114</v>
      </c>
      <c r="B119" s="202" t="s">
        <v>63</v>
      </c>
      <c r="C119" s="203" t="s">
        <v>386</v>
      </c>
      <c r="D119" s="204">
        <v>149</v>
      </c>
      <c r="E119" s="203" t="s">
        <v>386</v>
      </c>
      <c r="F119" s="204">
        <v>149</v>
      </c>
      <c r="G119" s="202" t="str">
        <f t="shared" si="3"/>
        <v>Match</v>
      </c>
      <c r="H119" s="205"/>
    </row>
    <row r="120" spans="1:8" x14ac:dyDescent="0.75">
      <c r="A120" s="201">
        <v>115</v>
      </c>
      <c r="B120" s="202" t="s">
        <v>144</v>
      </c>
      <c r="C120" s="203" t="s">
        <v>347</v>
      </c>
      <c r="D120" s="204">
        <v>10.99</v>
      </c>
      <c r="E120" s="203" t="s">
        <v>347</v>
      </c>
      <c r="F120" s="204">
        <v>12.99</v>
      </c>
      <c r="G120" s="202" t="str">
        <f t="shared" si="3"/>
        <v>Price differs</v>
      </c>
      <c r="H120" s="205">
        <v>10.99</v>
      </c>
    </row>
    <row r="121" spans="1:8" x14ac:dyDescent="0.75">
      <c r="A121" s="201">
        <v>116</v>
      </c>
      <c r="B121" s="202" t="s">
        <v>247</v>
      </c>
      <c r="C121" s="203" t="s">
        <v>387</v>
      </c>
      <c r="D121" s="204">
        <v>900</v>
      </c>
      <c r="E121" s="203" t="s">
        <v>387</v>
      </c>
      <c r="F121" s="204">
        <v>900</v>
      </c>
      <c r="G121" s="202" t="str">
        <f t="shared" si="3"/>
        <v>Match</v>
      </c>
      <c r="H121" s="205"/>
    </row>
    <row r="122" spans="1:8" x14ac:dyDescent="0.75">
      <c r="A122" s="201">
        <v>117</v>
      </c>
      <c r="B122" s="202" t="s">
        <v>198</v>
      </c>
      <c r="C122" s="203" t="s">
        <v>347</v>
      </c>
      <c r="D122" s="204">
        <v>9.99</v>
      </c>
      <c r="E122" s="203" t="s">
        <v>347</v>
      </c>
      <c r="F122" s="204">
        <v>9.99</v>
      </c>
      <c r="G122" s="202" t="str">
        <f t="shared" si="3"/>
        <v>Match</v>
      </c>
      <c r="H122" s="205"/>
    </row>
    <row r="123" spans="1:8" x14ac:dyDescent="0.75">
      <c r="A123" s="201">
        <v>118</v>
      </c>
      <c r="B123" s="202" t="s">
        <v>250</v>
      </c>
      <c r="C123" s="203" t="s">
        <v>347</v>
      </c>
      <c r="D123" s="204">
        <v>2.99</v>
      </c>
      <c r="E123" s="203" t="s">
        <v>347</v>
      </c>
      <c r="F123" s="204">
        <v>2.99</v>
      </c>
      <c r="G123" s="202" t="str">
        <f t="shared" si="3"/>
        <v>Match</v>
      </c>
      <c r="H123" s="205"/>
    </row>
    <row r="124" spans="1:8" x14ac:dyDescent="0.75">
      <c r="A124" s="201">
        <v>119</v>
      </c>
      <c r="B124" s="202" t="s">
        <v>199</v>
      </c>
      <c r="C124" s="203" t="s">
        <v>347</v>
      </c>
      <c r="D124" s="204">
        <v>5.99</v>
      </c>
      <c r="E124" s="203" t="s">
        <v>388</v>
      </c>
      <c r="F124" s="204">
        <v>34000</v>
      </c>
      <c r="G124" s="202" t="str">
        <f t="shared" si="3"/>
        <v>Currency differs</v>
      </c>
      <c r="H124" s="205">
        <v>35000</v>
      </c>
    </row>
    <row r="125" spans="1:8" x14ac:dyDescent="0.75">
      <c r="A125" s="201">
        <v>120</v>
      </c>
      <c r="B125" s="202" t="s">
        <v>201</v>
      </c>
      <c r="C125" s="203" t="s">
        <v>389</v>
      </c>
      <c r="D125" s="204">
        <v>24.9</v>
      </c>
      <c r="E125" s="203" t="s">
        <v>389</v>
      </c>
      <c r="F125" s="204">
        <v>19.989999999999998</v>
      </c>
      <c r="G125" s="202" t="str">
        <f t="shared" si="3"/>
        <v>Price differs</v>
      </c>
      <c r="H125" s="205">
        <v>19.899999999999999</v>
      </c>
    </row>
    <row r="126" spans="1:8" x14ac:dyDescent="0.75">
      <c r="A126" s="201">
        <v>121</v>
      </c>
      <c r="B126" s="202" t="s">
        <v>251</v>
      </c>
      <c r="C126" s="203" t="s">
        <v>390</v>
      </c>
      <c r="D126" s="204">
        <v>399</v>
      </c>
      <c r="E126" s="203" t="s">
        <v>390</v>
      </c>
      <c r="F126" s="204">
        <v>399</v>
      </c>
      <c r="G126" s="202" t="str">
        <f t="shared" si="3"/>
        <v>Match</v>
      </c>
      <c r="H126" s="205"/>
    </row>
    <row r="127" spans="1:8" x14ac:dyDescent="0.75">
      <c r="A127" s="201">
        <v>122</v>
      </c>
      <c r="B127" s="202" t="s">
        <v>65</v>
      </c>
      <c r="C127" s="203" t="s">
        <v>391</v>
      </c>
      <c r="D127" s="204">
        <v>34.99</v>
      </c>
      <c r="E127" s="203" t="s">
        <v>391</v>
      </c>
      <c r="F127" s="204">
        <v>34.99</v>
      </c>
      <c r="G127" s="202" t="str">
        <f t="shared" si="3"/>
        <v>Match</v>
      </c>
      <c r="H127" s="205"/>
    </row>
    <row r="128" spans="1:8" x14ac:dyDescent="0.75">
      <c r="A128" s="201">
        <v>123</v>
      </c>
      <c r="B128" s="202" t="s">
        <v>67</v>
      </c>
      <c r="C128" s="203" t="s">
        <v>350</v>
      </c>
      <c r="D128" s="204">
        <v>7.99</v>
      </c>
      <c r="E128" s="203" t="s">
        <v>350</v>
      </c>
      <c r="F128" s="204">
        <v>7.99</v>
      </c>
      <c r="G128" s="202" t="str">
        <f t="shared" si="3"/>
        <v>Match</v>
      </c>
      <c r="H128" s="205"/>
    </row>
    <row r="129" spans="1:8" x14ac:dyDescent="0.75">
      <c r="A129" s="201">
        <v>124</v>
      </c>
      <c r="B129" s="202" t="s">
        <v>145</v>
      </c>
      <c r="C129" s="203" t="s">
        <v>392</v>
      </c>
      <c r="D129" s="204">
        <v>39.99</v>
      </c>
      <c r="E129" s="203" t="s">
        <v>392</v>
      </c>
      <c r="F129" s="204">
        <v>50</v>
      </c>
      <c r="G129" s="202" t="str">
        <f t="shared" si="3"/>
        <v>Price differs</v>
      </c>
      <c r="H129" s="205">
        <v>49.99</v>
      </c>
    </row>
    <row r="130" spans="1:8" x14ac:dyDescent="0.75">
      <c r="A130" s="201">
        <v>125</v>
      </c>
      <c r="B130" s="202" t="s">
        <v>68</v>
      </c>
      <c r="C130" s="203" t="s">
        <v>393</v>
      </c>
      <c r="D130" s="204">
        <v>39.99</v>
      </c>
      <c r="E130" s="203" t="s">
        <v>393</v>
      </c>
      <c r="F130" s="204">
        <v>39.99</v>
      </c>
      <c r="G130" s="202" t="str">
        <f t="shared" si="3"/>
        <v>Match</v>
      </c>
      <c r="H130" s="205"/>
    </row>
    <row r="131" spans="1:8" x14ac:dyDescent="0.75">
      <c r="A131" s="201">
        <v>126</v>
      </c>
      <c r="B131" s="202" t="s">
        <v>70</v>
      </c>
      <c r="C131" s="203" t="s">
        <v>394</v>
      </c>
      <c r="D131" s="204">
        <v>799</v>
      </c>
      <c r="E131" s="203" t="s">
        <v>394</v>
      </c>
      <c r="F131" s="204">
        <v>600</v>
      </c>
      <c r="G131" s="202" t="str">
        <f t="shared" si="3"/>
        <v>Price differs</v>
      </c>
      <c r="H131" s="205">
        <v>599</v>
      </c>
    </row>
    <row r="132" spans="1:8" x14ac:dyDescent="0.75">
      <c r="A132" s="201">
        <v>127</v>
      </c>
      <c r="B132" s="202" t="s">
        <v>147</v>
      </c>
      <c r="C132" s="203" t="s">
        <v>347</v>
      </c>
      <c r="D132" s="204">
        <v>2.99</v>
      </c>
      <c r="E132" s="203" t="s">
        <v>347</v>
      </c>
      <c r="F132" s="204">
        <v>2.99</v>
      </c>
      <c r="G132" s="202" t="str">
        <f t="shared" si="3"/>
        <v>Match</v>
      </c>
      <c r="H132" s="205"/>
    </row>
    <row r="133" spans="1:8" x14ac:dyDescent="0.75">
      <c r="A133" s="201">
        <v>128</v>
      </c>
      <c r="B133" s="202" t="s">
        <v>319</v>
      </c>
      <c r="C133" s="203"/>
      <c r="D133" s="204"/>
      <c r="E133" s="203" t="s">
        <v>347</v>
      </c>
      <c r="F133" s="204">
        <v>3.99</v>
      </c>
      <c r="G133" s="202" t="str">
        <f t="shared" si="3"/>
        <v>Not on App Store</v>
      </c>
      <c r="H133" s="205"/>
    </row>
    <row r="134" spans="1:8" x14ac:dyDescent="0.75">
      <c r="A134" s="201">
        <v>129</v>
      </c>
      <c r="B134" s="202" t="s">
        <v>320</v>
      </c>
      <c r="C134" s="203"/>
      <c r="D134" s="204"/>
      <c r="E134" s="203" t="s">
        <v>350</v>
      </c>
      <c r="F134" s="204">
        <v>10.99</v>
      </c>
      <c r="G134" s="202" t="str">
        <f t="shared" ref="G134:G165" si="4">IF(C134="","Not on App Store",IF(E134="","Not on Google Play",IF(F134="","Price not shown",IF(AND(C134=E134,ABS(D134-F134)&lt;0.005),"Match",IF(C134&lt;&gt;E134,"Currency differs","Price differs")))))</f>
        <v>Not on App Store</v>
      </c>
      <c r="H134" s="205"/>
    </row>
    <row r="135" spans="1:8" x14ac:dyDescent="0.75">
      <c r="A135" s="201">
        <v>130</v>
      </c>
      <c r="B135" s="202" t="s">
        <v>149</v>
      </c>
      <c r="C135" s="203" t="s">
        <v>395</v>
      </c>
      <c r="D135" s="204">
        <v>49.99</v>
      </c>
      <c r="E135" s="203" t="s">
        <v>395</v>
      </c>
      <c r="F135" s="204">
        <v>49.99</v>
      </c>
      <c r="G135" s="202" t="str">
        <f t="shared" si="4"/>
        <v>Match</v>
      </c>
      <c r="H135" s="205"/>
    </row>
    <row r="136" spans="1:8" x14ac:dyDescent="0.75">
      <c r="A136" s="201">
        <v>131</v>
      </c>
      <c r="B136" s="202" t="s">
        <v>151</v>
      </c>
      <c r="C136" s="203" t="s">
        <v>347</v>
      </c>
      <c r="D136" s="204">
        <v>3.99</v>
      </c>
      <c r="E136" s="203" t="s">
        <v>360</v>
      </c>
      <c r="F136" s="204">
        <v>2100</v>
      </c>
      <c r="G136" s="202" t="str">
        <f t="shared" si="4"/>
        <v>Currency differs</v>
      </c>
      <c r="H136" s="205">
        <v>2300</v>
      </c>
    </row>
    <row r="137" spans="1:8" x14ac:dyDescent="0.75">
      <c r="A137" s="201">
        <v>132</v>
      </c>
      <c r="B137" s="202" t="s">
        <v>72</v>
      </c>
      <c r="C137" s="203" t="s">
        <v>350</v>
      </c>
      <c r="D137" s="204">
        <v>7.99</v>
      </c>
      <c r="E137" s="203" t="s">
        <v>396</v>
      </c>
      <c r="F137" s="204">
        <v>900</v>
      </c>
      <c r="G137" s="202" t="str">
        <f t="shared" si="4"/>
        <v>Currency differs</v>
      </c>
      <c r="H137" s="205">
        <v>800</v>
      </c>
    </row>
    <row r="138" spans="1:8" x14ac:dyDescent="0.75">
      <c r="A138" s="201">
        <v>133</v>
      </c>
      <c r="B138" s="202" t="s">
        <v>152</v>
      </c>
      <c r="C138" s="203" t="s">
        <v>347</v>
      </c>
      <c r="D138" s="204">
        <v>7.99</v>
      </c>
      <c r="E138" s="203" t="s">
        <v>347</v>
      </c>
      <c r="F138" s="204">
        <v>7.99</v>
      </c>
      <c r="G138" s="202" t="str">
        <f t="shared" si="4"/>
        <v>Match</v>
      </c>
      <c r="H138" s="205"/>
    </row>
    <row r="139" spans="1:8" x14ac:dyDescent="0.75">
      <c r="A139" s="201">
        <v>134</v>
      </c>
      <c r="B139" s="202" t="s">
        <v>153</v>
      </c>
      <c r="C139" s="203" t="s">
        <v>347</v>
      </c>
      <c r="D139" s="204">
        <v>1.99</v>
      </c>
      <c r="E139" s="203" t="s">
        <v>347</v>
      </c>
      <c r="F139" s="204">
        <v>1.99</v>
      </c>
      <c r="G139" s="202" t="str">
        <f t="shared" si="4"/>
        <v>Match</v>
      </c>
      <c r="H139" s="205"/>
    </row>
    <row r="140" spans="1:8" x14ac:dyDescent="0.75">
      <c r="A140" s="201">
        <v>135</v>
      </c>
      <c r="B140" s="202" t="s">
        <v>253</v>
      </c>
      <c r="C140" s="203" t="s">
        <v>397</v>
      </c>
      <c r="D140" s="204">
        <v>19.98</v>
      </c>
      <c r="E140" s="203" t="s">
        <v>397</v>
      </c>
      <c r="F140" s="204">
        <v>19.98</v>
      </c>
      <c r="G140" s="202" t="str">
        <f t="shared" si="4"/>
        <v>Match</v>
      </c>
      <c r="H140" s="205"/>
    </row>
    <row r="141" spans="1:8" x14ac:dyDescent="0.75">
      <c r="A141" s="201">
        <v>136</v>
      </c>
      <c r="B141" s="202" t="s">
        <v>74</v>
      </c>
      <c r="C141" s="203" t="s">
        <v>350</v>
      </c>
      <c r="D141" s="204">
        <v>7.99</v>
      </c>
      <c r="E141" s="203" t="s">
        <v>350</v>
      </c>
      <c r="F141" s="204">
        <v>7.99</v>
      </c>
      <c r="G141" s="202" t="str">
        <f t="shared" si="4"/>
        <v>Match</v>
      </c>
      <c r="H141" s="205"/>
    </row>
    <row r="142" spans="1:8" x14ac:dyDescent="0.75">
      <c r="A142" s="201">
        <v>137</v>
      </c>
      <c r="B142" s="202" t="s">
        <v>75</v>
      </c>
      <c r="C142" s="203" t="s">
        <v>350</v>
      </c>
      <c r="D142" s="204">
        <v>10.99</v>
      </c>
      <c r="E142" s="203" t="s">
        <v>350</v>
      </c>
      <c r="F142" s="204">
        <v>10.99</v>
      </c>
      <c r="G142" s="202" t="str">
        <f t="shared" si="4"/>
        <v>Match</v>
      </c>
      <c r="H142" s="205"/>
    </row>
    <row r="143" spans="1:8" x14ac:dyDescent="0.75">
      <c r="A143" s="201">
        <v>138</v>
      </c>
      <c r="B143" s="202" t="s">
        <v>255</v>
      </c>
      <c r="C143" s="203" t="s">
        <v>347</v>
      </c>
      <c r="D143" s="204">
        <v>1.99</v>
      </c>
      <c r="E143" s="203" t="s">
        <v>347</v>
      </c>
      <c r="F143" s="204">
        <v>1.99</v>
      </c>
      <c r="G143" s="202" t="str">
        <f t="shared" si="4"/>
        <v>Match</v>
      </c>
      <c r="H143" s="205"/>
    </row>
    <row r="144" spans="1:8" x14ac:dyDescent="0.75">
      <c r="A144" s="201">
        <v>139</v>
      </c>
      <c r="B144" s="202" t="s">
        <v>322</v>
      </c>
      <c r="C144" s="203"/>
      <c r="D144" s="204"/>
      <c r="E144" s="203" t="s">
        <v>347</v>
      </c>
      <c r="F144" s="204">
        <v>1.99</v>
      </c>
      <c r="G144" s="202" t="str">
        <f t="shared" si="4"/>
        <v>Not on App Store</v>
      </c>
      <c r="H144" s="205"/>
    </row>
    <row r="145" spans="1:8" x14ac:dyDescent="0.75">
      <c r="A145" s="201">
        <v>140</v>
      </c>
      <c r="B145" s="202" t="s">
        <v>154</v>
      </c>
      <c r="C145" s="203" t="s">
        <v>398</v>
      </c>
      <c r="D145" s="204">
        <v>99.99</v>
      </c>
      <c r="E145" s="203" t="s">
        <v>398</v>
      </c>
      <c r="F145" s="204">
        <v>99</v>
      </c>
      <c r="G145" s="202" t="str">
        <f t="shared" si="4"/>
        <v>Price differs</v>
      </c>
      <c r="H145" s="205">
        <v>99.99</v>
      </c>
    </row>
    <row r="146" spans="1:8" x14ac:dyDescent="0.75">
      <c r="A146" s="201">
        <v>141</v>
      </c>
      <c r="B146" s="202" t="s">
        <v>323</v>
      </c>
      <c r="C146" s="203" t="s">
        <v>399</v>
      </c>
      <c r="D146" s="204">
        <v>15000</v>
      </c>
      <c r="E146" s="203" t="s">
        <v>399</v>
      </c>
      <c r="F146" s="204">
        <v>15000</v>
      </c>
      <c r="G146" s="202" t="str">
        <f t="shared" si="4"/>
        <v>Match</v>
      </c>
      <c r="H146" s="205"/>
    </row>
    <row r="147" spans="1:8" x14ac:dyDescent="0.75">
      <c r="A147" s="201">
        <v>142</v>
      </c>
      <c r="B147" s="202" t="s">
        <v>76</v>
      </c>
      <c r="C147" s="203" t="s">
        <v>350</v>
      </c>
      <c r="D147" s="204">
        <v>10.99</v>
      </c>
      <c r="E147" s="203" t="s">
        <v>350</v>
      </c>
      <c r="F147" s="204">
        <v>10.99</v>
      </c>
      <c r="G147" s="202" t="str">
        <f t="shared" si="4"/>
        <v>Match</v>
      </c>
      <c r="H147" s="205"/>
    </row>
    <row r="148" spans="1:8" x14ac:dyDescent="0.75">
      <c r="A148" s="201">
        <v>143</v>
      </c>
      <c r="B148" s="202" t="s">
        <v>256</v>
      </c>
      <c r="C148" s="203" t="s">
        <v>347</v>
      </c>
      <c r="D148" s="204">
        <v>5.99</v>
      </c>
      <c r="E148" s="203" t="s">
        <v>400</v>
      </c>
      <c r="F148" s="204">
        <v>1950</v>
      </c>
      <c r="G148" s="202" t="str">
        <f t="shared" si="4"/>
        <v>Currency differs</v>
      </c>
      <c r="H148" s="205">
        <v>2000</v>
      </c>
    </row>
    <row r="149" spans="1:8" x14ac:dyDescent="0.75">
      <c r="A149" s="201">
        <v>144</v>
      </c>
      <c r="B149" s="202" t="s">
        <v>325</v>
      </c>
      <c r="C149" s="203" t="s">
        <v>347</v>
      </c>
      <c r="D149" s="204">
        <v>7.99</v>
      </c>
      <c r="E149" s="203" t="s">
        <v>347</v>
      </c>
      <c r="F149" s="204">
        <v>7.99</v>
      </c>
      <c r="G149" s="202" t="str">
        <f t="shared" si="4"/>
        <v>Match</v>
      </c>
      <c r="H149" s="205"/>
    </row>
    <row r="150" spans="1:8" x14ac:dyDescent="0.75">
      <c r="A150" s="201">
        <v>145</v>
      </c>
      <c r="B150" s="202" t="s">
        <v>204</v>
      </c>
      <c r="C150" s="203" t="s">
        <v>347</v>
      </c>
      <c r="D150" s="204">
        <v>7.99</v>
      </c>
      <c r="E150" s="203" t="s">
        <v>347</v>
      </c>
      <c r="F150" s="204">
        <v>7.99</v>
      </c>
      <c r="G150" s="202" t="str">
        <f t="shared" si="4"/>
        <v>Match</v>
      </c>
      <c r="H150" s="205"/>
    </row>
    <row r="151" spans="1:8" x14ac:dyDescent="0.75">
      <c r="A151" s="201">
        <v>146</v>
      </c>
      <c r="B151" s="202" t="s">
        <v>206</v>
      </c>
      <c r="C151" s="203" t="s">
        <v>347</v>
      </c>
      <c r="D151" s="204">
        <v>6.99</v>
      </c>
      <c r="E151" s="203" t="s">
        <v>347</v>
      </c>
      <c r="F151" s="204">
        <v>5.99</v>
      </c>
      <c r="G151" s="202" t="str">
        <f t="shared" si="4"/>
        <v>Price differs</v>
      </c>
      <c r="H151" s="205"/>
    </row>
    <row r="152" spans="1:8" x14ac:dyDescent="0.75">
      <c r="A152" s="201">
        <v>147</v>
      </c>
      <c r="B152" s="202" t="s">
        <v>77</v>
      </c>
      <c r="C152" s="203" t="s">
        <v>401</v>
      </c>
      <c r="D152" s="204">
        <v>149</v>
      </c>
      <c r="E152" s="203" t="s">
        <v>401</v>
      </c>
      <c r="F152" s="204">
        <v>149</v>
      </c>
      <c r="G152" s="202" t="str">
        <f t="shared" si="4"/>
        <v>Match</v>
      </c>
      <c r="H152" s="205"/>
    </row>
    <row r="153" spans="1:8" x14ac:dyDescent="0.75">
      <c r="A153" s="201">
        <v>148</v>
      </c>
      <c r="B153" s="202" t="s">
        <v>79</v>
      </c>
      <c r="C153" s="203" t="s">
        <v>376</v>
      </c>
      <c r="D153" s="204">
        <v>12</v>
      </c>
      <c r="E153" s="203" t="s">
        <v>376</v>
      </c>
      <c r="F153" s="204">
        <v>10.9</v>
      </c>
      <c r="G153" s="202" t="str">
        <f t="shared" si="4"/>
        <v>Price differs</v>
      </c>
      <c r="H153" s="205">
        <v>11</v>
      </c>
    </row>
    <row r="154" spans="1:8" x14ac:dyDescent="0.75">
      <c r="A154" s="201">
        <v>149</v>
      </c>
      <c r="B154" s="202" t="s">
        <v>258</v>
      </c>
      <c r="C154" s="203" t="s">
        <v>402</v>
      </c>
      <c r="D154" s="204">
        <v>390</v>
      </c>
      <c r="E154" s="203" t="s">
        <v>402</v>
      </c>
      <c r="F154" s="204">
        <v>390</v>
      </c>
      <c r="G154" s="202" t="str">
        <f t="shared" si="4"/>
        <v>Match</v>
      </c>
      <c r="H154" s="205"/>
    </row>
    <row r="155" spans="1:8" x14ac:dyDescent="0.75">
      <c r="A155" s="201">
        <v>150</v>
      </c>
      <c r="B155" s="202" t="s">
        <v>260</v>
      </c>
      <c r="C155" s="203" t="s">
        <v>347</v>
      </c>
      <c r="D155" s="204">
        <v>4.99</v>
      </c>
      <c r="E155" s="203" t="s">
        <v>347</v>
      </c>
      <c r="F155" s="204">
        <v>3.99</v>
      </c>
      <c r="G155" s="202" t="str">
        <f t="shared" si="4"/>
        <v>Price differs</v>
      </c>
      <c r="H155" s="205"/>
    </row>
    <row r="156" spans="1:8" x14ac:dyDescent="0.75">
      <c r="A156" s="201">
        <v>151</v>
      </c>
      <c r="B156" s="202" t="s">
        <v>156</v>
      </c>
      <c r="C156" s="203" t="s">
        <v>403</v>
      </c>
      <c r="D156" s="204">
        <v>9900</v>
      </c>
      <c r="E156" s="203" t="s">
        <v>403</v>
      </c>
      <c r="F156" s="204">
        <v>7900</v>
      </c>
      <c r="G156" s="202" t="str">
        <f t="shared" si="4"/>
        <v>Price differs</v>
      </c>
      <c r="H156" s="205"/>
    </row>
    <row r="157" spans="1:8" x14ac:dyDescent="0.75">
      <c r="A157" s="201">
        <v>152</v>
      </c>
      <c r="B157" s="202" t="s">
        <v>261</v>
      </c>
      <c r="C157" s="203" t="s">
        <v>404</v>
      </c>
      <c r="D157" s="204">
        <v>299</v>
      </c>
      <c r="E157" s="203" t="s">
        <v>404</v>
      </c>
      <c r="F157" s="204">
        <v>299</v>
      </c>
      <c r="G157" s="202" t="str">
        <f t="shared" si="4"/>
        <v>Match</v>
      </c>
      <c r="H157" s="205"/>
    </row>
    <row r="158" spans="1:8" x14ac:dyDescent="0.75">
      <c r="A158" s="201">
        <v>153</v>
      </c>
      <c r="B158" s="202" t="s">
        <v>326</v>
      </c>
      <c r="C158" s="203"/>
      <c r="D158" s="204"/>
      <c r="E158" s="203" t="s">
        <v>350</v>
      </c>
      <c r="F158" s="204">
        <v>2.99</v>
      </c>
      <c r="G158" s="202" t="str">
        <f t="shared" si="4"/>
        <v>Not on App Store</v>
      </c>
      <c r="H158" s="205"/>
    </row>
    <row r="159" spans="1:8" x14ac:dyDescent="0.75">
      <c r="A159" s="201">
        <v>154</v>
      </c>
      <c r="B159" s="202" t="s">
        <v>263</v>
      </c>
      <c r="C159" s="203" t="s">
        <v>347</v>
      </c>
      <c r="D159" s="204">
        <v>3.99</v>
      </c>
      <c r="E159" s="203" t="s">
        <v>347</v>
      </c>
      <c r="F159" s="204">
        <v>3.99</v>
      </c>
      <c r="G159" s="202" t="str">
        <f t="shared" si="4"/>
        <v>Match</v>
      </c>
      <c r="H159" s="205"/>
    </row>
    <row r="160" spans="1:8" x14ac:dyDescent="0.75">
      <c r="A160" s="201">
        <v>155</v>
      </c>
      <c r="B160" s="202" t="s">
        <v>327</v>
      </c>
      <c r="C160" s="203" t="s">
        <v>347</v>
      </c>
      <c r="D160" s="204">
        <v>7.99</v>
      </c>
      <c r="E160" s="203" t="s">
        <v>347</v>
      </c>
      <c r="F160" s="204">
        <v>7.99</v>
      </c>
      <c r="G160" s="202" t="str">
        <f t="shared" si="4"/>
        <v>Match</v>
      </c>
      <c r="H160" s="205"/>
    </row>
    <row r="161" spans="1:8" x14ac:dyDescent="0.75">
      <c r="A161" s="201">
        <v>156</v>
      </c>
      <c r="B161" s="202" t="s">
        <v>158</v>
      </c>
      <c r="C161" s="203" t="s">
        <v>347</v>
      </c>
      <c r="D161" s="204">
        <v>5.99</v>
      </c>
      <c r="E161" s="203" t="s">
        <v>347</v>
      </c>
      <c r="F161" s="204">
        <v>5.99</v>
      </c>
      <c r="G161" s="202" t="str">
        <f t="shared" si="4"/>
        <v>Match</v>
      </c>
      <c r="H161" s="205"/>
    </row>
    <row r="162" spans="1:8" x14ac:dyDescent="0.75">
      <c r="A162" s="201">
        <v>157</v>
      </c>
      <c r="B162" s="202" t="s">
        <v>264</v>
      </c>
      <c r="C162" s="203" t="s">
        <v>347</v>
      </c>
      <c r="D162" s="204">
        <v>5.99</v>
      </c>
      <c r="E162" s="203" t="s">
        <v>347</v>
      </c>
      <c r="F162" s="204">
        <v>5.99</v>
      </c>
      <c r="G162" s="202" t="str">
        <f t="shared" si="4"/>
        <v>Match</v>
      </c>
      <c r="H162" s="205"/>
    </row>
    <row r="163" spans="1:8" x14ac:dyDescent="0.75">
      <c r="A163" s="201">
        <v>158</v>
      </c>
      <c r="B163" s="202" t="s">
        <v>328</v>
      </c>
      <c r="C163" s="203" t="s">
        <v>347</v>
      </c>
      <c r="D163" s="204">
        <v>7.99</v>
      </c>
      <c r="E163" s="203" t="s">
        <v>347</v>
      </c>
      <c r="F163" s="204">
        <v>7.99</v>
      </c>
      <c r="G163" s="202" t="str">
        <f t="shared" si="4"/>
        <v>Match</v>
      </c>
      <c r="H163" s="205"/>
    </row>
    <row r="164" spans="1:8" x14ac:dyDescent="0.75">
      <c r="A164" s="201">
        <v>159</v>
      </c>
      <c r="B164" s="202" t="s">
        <v>81</v>
      </c>
      <c r="C164" s="203" t="s">
        <v>405</v>
      </c>
      <c r="D164" s="204">
        <v>499.99</v>
      </c>
      <c r="E164" s="203" t="s">
        <v>405</v>
      </c>
      <c r="F164" s="204">
        <v>499.99</v>
      </c>
      <c r="G164" s="202" t="str">
        <f t="shared" si="4"/>
        <v>Match</v>
      </c>
      <c r="H164" s="205"/>
    </row>
    <row r="165" spans="1:8" x14ac:dyDescent="0.75">
      <c r="A165" s="201">
        <v>160</v>
      </c>
      <c r="B165" s="202" t="s">
        <v>159</v>
      </c>
      <c r="C165" s="203" t="s">
        <v>347</v>
      </c>
      <c r="D165" s="204">
        <v>1.99</v>
      </c>
      <c r="E165" s="203" t="s">
        <v>347</v>
      </c>
      <c r="F165" s="204">
        <v>1.99</v>
      </c>
      <c r="G165" s="202" t="str">
        <f t="shared" si="4"/>
        <v>Match</v>
      </c>
      <c r="H165" s="205"/>
    </row>
    <row r="166" spans="1:8" x14ac:dyDescent="0.75">
      <c r="A166" s="201">
        <v>161</v>
      </c>
      <c r="B166" s="202" t="s">
        <v>83</v>
      </c>
      <c r="C166" s="203" t="s">
        <v>347</v>
      </c>
      <c r="D166" s="204">
        <v>6.99</v>
      </c>
      <c r="E166" s="203" t="s">
        <v>406</v>
      </c>
      <c r="F166" s="204">
        <v>299</v>
      </c>
      <c r="G166" s="202" t="str">
        <f t="shared" ref="G166:G197" si="5">IF(C166="","Not on App Store",IF(E166="","Not on Google Play",IF(F166="","Price not shown",IF(AND(C166=E166,ABS(D166-F166)&lt;0.005),"Match",IF(C166&lt;&gt;E166,"Currency differs","Price differs")))))</f>
        <v>Currency differs</v>
      </c>
      <c r="H166" s="205"/>
    </row>
    <row r="167" spans="1:8" x14ac:dyDescent="0.75">
      <c r="A167" s="201">
        <v>162</v>
      </c>
      <c r="B167" s="202" t="s">
        <v>160</v>
      </c>
      <c r="C167" s="203" t="s">
        <v>407</v>
      </c>
      <c r="D167" s="204">
        <v>49.99</v>
      </c>
      <c r="E167" s="203" t="s">
        <v>407</v>
      </c>
      <c r="F167" s="204">
        <v>49.99</v>
      </c>
      <c r="G167" s="202" t="str">
        <f t="shared" si="5"/>
        <v>Match</v>
      </c>
      <c r="H167" s="205"/>
    </row>
    <row r="168" spans="1:8" x14ac:dyDescent="0.75">
      <c r="A168" s="201">
        <v>163</v>
      </c>
      <c r="B168" s="202" t="s">
        <v>85</v>
      </c>
      <c r="C168" s="203" t="s">
        <v>365</v>
      </c>
      <c r="D168" s="204">
        <v>10.99</v>
      </c>
      <c r="E168" s="203" t="s">
        <v>365</v>
      </c>
      <c r="F168" s="204">
        <v>10.99</v>
      </c>
      <c r="G168" s="202" t="str">
        <f t="shared" si="5"/>
        <v>Match</v>
      </c>
      <c r="H168" s="205"/>
    </row>
    <row r="169" spans="1:8" x14ac:dyDescent="0.75">
      <c r="A169" s="201">
        <v>164</v>
      </c>
      <c r="B169" s="202" t="s">
        <v>23</v>
      </c>
      <c r="C169" s="203" t="s">
        <v>347</v>
      </c>
      <c r="D169" s="204">
        <v>11.99</v>
      </c>
      <c r="E169" s="203" t="s">
        <v>347</v>
      </c>
      <c r="F169" s="204">
        <v>11.99</v>
      </c>
      <c r="G169" s="202" t="str">
        <f t="shared" si="5"/>
        <v>Match</v>
      </c>
      <c r="H169" s="205"/>
    </row>
    <row r="170" spans="1:8" x14ac:dyDescent="0.75">
      <c r="A170" s="201">
        <v>165</v>
      </c>
      <c r="B170" s="202" t="s">
        <v>209</v>
      </c>
      <c r="C170" s="203" t="s">
        <v>347</v>
      </c>
      <c r="D170" s="204">
        <v>7.99</v>
      </c>
      <c r="E170" s="203" t="s">
        <v>347</v>
      </c>
      <c r="F170" s="204">
        <v>7.99</v>
      </c>
      <c r="G170" s="202" t="str">
        <f t="shared" si="5"/>
        <v>Match</v>
      </c>
      <c r="H170" s="205"/>
    </row>
    <row r="171" spans="1:8" x14ac:dyDescent="0.75">
      <c r="A171" s="201">
        <v>166</v>
      </c>
      <c r="B171" s="202" t="s">
        <v>265</v>
      </c>
      <c r="C171" s="203" t="s">
        <v>347</v>
      </c>
      <c r="D171" s="204">
        <v>4.99</v>
      </c>
      <c r="E171" s="203" t="s">
        <v>347</v>
      </c>
      <c r="F171" s="204">
        <v>4.99</v>
      </c>
      <c r="G171" s="202" t="str">
        <f t="shared" si="5"/>
        <v>Match</v>
      </c>
      <c r="H171" s="205"/>
    </row>
    <row r="172" spans="1:8" x14ac:dyDescent="0.75">
      <c r="A172" s="201">
        <v>167</v>
      </c>
      <c r="B172" s="202" t="s">
        <v>266</v>
      </c>
      <c r="C172" s="203" t="s">
        <v>347</v>
      </c>
      <c r="D172" s="204">
        <v>2.99</v>
      </c>
      <c r="E172" s="203" t="s">
        <v>347</v>
      </c>
      <c r="F172" s="204">
        <v>2.99</v>
      </c>
      <c r="G172" s="202" t="str">
        <f t="shared" si="5"/>
        <v>Match</v>
      </c>
      <c r="H172" s="205"/>
    </row>
    <row r="173" spans="1:8" x14ac:dyDescent="0.75">
      <c r="A173" s="201">
        <v>168</v>
      </c>
      <c r="B173" s="202" t="s">
        <v>330</v>
      </c>
      <c r="C173" s="203"/>
      <c r="D173" s="204"/>
      <c r="E173" s="203" t="s">
        <v>350</v>
      </c>
      <c r="F173" s="204">
        <v>10.99</v>
      </c>
      <c r="G173" s="202" t="str">
        <f t="shared" si="5"/>
        <v>Not on App Store</v>
      </c>
      <c r="H173" s="205"/>
    </row>
    <row r="174" spans="1:8" x14ac:dyDescent="0.75">
      <c r="A174" s="201">
        <v>169</v>
      </c>
      <c r="B174" s="202" t="s">
        <v>210</v>
      </c>
      <c r="C174" s="203" t="s">
        <v>347</v>
      </c>
      <c r="D174" s="204">
        <v>2.99</v>
      </c>
      <c r="E174" s="203" t="s">
        <v>347</v>
      </c>
      <c r="F174" s="204">
        <v>2.99</v>
      </c>
      <c r="G174" s="202" t="str">
        <f t="shared" si="5"/>
        <v>Match</v>
      </c>
      <c r="H174" s="205"/>
    </row>
    <row r="175" spans="1:8" x14ac:dyDescent="0.75">
      <c r="A175" s="201">
        <v>170</v>
      </c>
      <c r="B175" s="202" t="s">
        <v>267</v>
      </c>
      <c r="C175" s="203" t="s">
        <v>408</v>
      </c>
      <c r="D175" s="204">
        <v>149000</v>
      </c>
      <c r="E175" s="203" t="s">
        <v>408</v>
      </c>
      <c r="F175" s="204">
        <v>149000</v>
      </c>
      <c r="G175" s="202" t="str">
        <f t="shared" si="5"/>
        <v>Match</v>
      </c>
      <c r="H175" s="205"/>
    </row>
    <row r="176" spans="1:8" x14ac:dyDescent="0.75">
      <c r="A176" s="201">
        <v>171</v>
      </c>
      <c r="B176" s="202" t="s">
        <v>162</v>
      </c>
      <c r="C176" s="203" t="s">
        <v>347</v>
      </c>
      <c r="D176" s="204">
        <v>1.99</v>
      </c>
      <c r="E176" s="203" t="s">
        <v>347</v>
      </c>
      <c r="F176" s="204">
        <v>1.99</v>
      </c>
      <c r="G176" s="202" t="str">
        <f t="shared" si="5"/>
        <v>Match</v>
      </c>
      <c r="H176" s="205"/>
    </row>
    <row r="177" spans="1:8" x14ac:dyDescent="0.75">
      <c r="A177" s="201">
        <v>172</v>
      </c>
      <c r="B177" s="202" t="s">
        <v>163</v>
      </c>
      <c r="C177" s="203" t="s">
        <v>347</v>
      </c>
      <c r="D177" s="204">
        <v>3.99</v>
      </c>
      <c r="E177" s="203" t="s">
        <v>347</v>
      </c>
      <c r="F177" s="204">
        <v>2.99</v>
      </c>
      <c r="G177" s="202" t="str">
        <f t="shared" si="5"/>
        <v>Price differs</v>
      </c>
      <c r="H177" s="205"/>
    </row>
    <row r="178" spans="1:8" x14ac:dyDescent="0.75">
      <c r="A178" s="201">
        <v>173</v>
      </c>
      <c r="B178" s="202" t="s">
        <v>164</v>
      </c>
      <c r="C178" s="203" t="s">
        <v>347</v>
      </c>
      <c r="D178" s="204">
        <v>3.99</v>
      </c>
      <c r="E178" s="203" t="s">
        <v>347</v>
      </c>
      <c r="F178" s="204">
        <v>2.99</v>
      </c>
      <c r="G178" s="202" t="str">
        <f t="shared" si="5"/>
        <v>Price differs</v>
      </c>
      <c r="H178" s="205"/>
    </row>
    <row r="179" spans="1:8" x14ac:dyDescent="0.75">
      <c r="A179" s="201">
        <v>174</v>
      </c>
      <c r="B179" s="202" t="s">
        <v>331</v>
      </c>
      <c r="C179" s="203"/>
      <c r="D179" s="204"/>
      <c r="E179" s="203" t="s">
        <v>347</v>
      </c>
      <c r="F179" s="204"/>
      <c r="G179" s="202" t="str">
        <f t="shared" si="5"/>
        <v>Not on App Store</v>
      </c>
      <c r="H179" s="205" t="s">
        <v>409</v>
      </c>
    </row>
    <row r="180" spans="1:8" x14ac:dyDescent="0.75">
      <c r="A180" s="201">
        <v>175</v>
      </c>
      <c r="B180" s="202" t="s">
        <v>332</v>
      </c>
      <c r="C180" s="203"/>
      <c r="D180" s="204"/>
      <c r="E180" s="203" t="s">
        <v>350</v>
      </c>
      <c r="F180" s="204"/>
      <c r="G180" s="202" t="str">
        <f t="shared" si="5"/>
        <v>Not on App Store</v>
      </c>
      <c r="H180" s="205" t="s">
        <v>409</v>
      </c>
    </row>
    <row r="181" spans="1:8" x14ac:dyDescent="0.75">
      <c r="A181" s="201">
        <v>176</v>
      </c>
      <c r="B181" s="202" t="s">
        <v>88</v>
      </c>
      <c r="C181" s="203" t="s">
        <v>347</v>
      </c>
      <c r="D181" s="204">
        <v>1.99</v>
      </c>
      <c r="E181" s="203"/>
      <c r="F181" s="204"/>
      <c r="G181" s="202" t="str">
        <f t="shared" si="5"/>
        <v>Not on Google Play</v>
      </c>
      <c r="H181" s="205" t="s">
        <v>410</v>
      </c>
    </row>
    <row r="182" spans="1:8" x14ac:dyDescent="0.75">
      <c r="A182" s="201">
        <v>177</v>
      </c>
      <c r="B182" s="202" t="s">
        <v>166</v>
      </c>
      <c r="C182" s="203" t="s">
        <v>347</v>
      </c>
      <c r="D182" s="204">
        <v>5.99</v>
      </c>
      <c r="E182" s="203"/>
      <c r="F182" s="204"/>
      <c r="G182" s="202" t="str">
        <f t="shared" si="5"/>
        <v>Not on Google Play</v>
      </c>
      <c r="H182" s="205" t="s">
        <v>410</v>
      </c>
    </row>
    <row r="183" spans="1:8" x14ac:dyDescent="0.75">
      <c r="A183" s="201">
        <v>178</v>
      </c>
      <c r="B183" s="202" t="s">
        <v>170</v>
      </c>
      <c r="C183" s="203" t="s">
        <v>347</v>
      </c>
      <c r="D183" s="204">
        <v>8.99</v>
      </c>
      <c r="E183" s="203"/>
      <c r="F183" s="204"/>
      <c r="G183" s="202" t="str">
        <f t="shared" si="5"/>
        <v>Not on Google Play</v>
      </c>
      <c r="H183" s="205" t="s">
        <v>410</v>
      </c>
    </row>
    <row r="184" spans="1:8" x14ac:dyDescent="0.75">
      <c r="A184" s="201">
        <v>179</v>
      </c>
      <c r="B184" s="202" t="s">
        <v>214</v>
      </c>
      <c r="C184" s="203" t="s">
        <v>347</v>
      </c>
      <c r="D184" s="204">
        <v>5.99</v>
      </c>
      <c r="E184" s="203"/>
      <c r="F184" s="204"/>
      <c r="G184" s="202" t="str">
        <f t="shared" si="5"/>
        <v>Not on Google Play</v>
      </c>
      <c r="H184" s="205" t="s">
        <v>410</v>
      </c>
    </row>
    <row r="185" spans="1:8" x14ac:dyDescent="0.75">
      <c r="A185" s="201">
        <v>180</v>
      </c>
      <c r="B185" s="202" t="s">
        <v>215</v>
      </c>
      <c r="C185" s="203" t="s">
        <v>347</v>
      </c>
      <c r="D185" s="204">
        <v>11.99</v>
      </c>
      <c r="E185" s="203"/>
      <c r="F185" s="204"/>
      <c r="G185" s="202" t="str">
        <f t="shared" si="5"/>
        <v>Not on Google Play</v>
      </c>
      <c r="H185" s="205" t="s">
        <v>410</v>
      </c>
    </row>
    <row r="186" spans="1:8" x14ac:dyDescent="0.75">
      <c r="A186" s="201">
        <v>181</v>
      </c>
      <c r="B186" s="202" t="s">
        <v>217</v>
      </c>
      <c r="C186" s="203" t="s">
        <v>411</v>
      </c>
      <c r="D186" s="204">
        <v>48</v>
      </c>
      <c r="E186" s="203"/>
      <c r="F186" s="204"/>
      <c r="G186" s="202" t="str">
        <f t="shared" si="5"/>
        <v>Not on Google Play</v>
      </c>
      <c r="H186" s="205" t="s">
        <v>410</v>
      </c>
    </row>
    <row r="187" spans="1:8" x14ac:dyDescent="0.75">
      <c r="A187" s="201">
        <v>182</v>
      </c>
      <c r="B187" s="202" t="s">
        <v>109</v>
      </c>
      <c r="C187" s="203" t="s">
        <v>347</v>
      </c>
      <c r="D187" s="204">
        <v>3.99</v>
      </c>
      <c r="E187" s="203"/>
      <c r="F187" s="204"/>
      <c r="G187" s="202" t="str">
        <f t="shared" si="5"/>
        <v>Not on Google Play</v>
      </c>
      <c r="H187" s="205" t="s">
        <v>410</v>
      </c>
    </row>
    <row r="188" spans="1:8" x14ac:dyDescent="0.75">
      <c r="A188" s="201">
        <v>183</v>
      </c>
      <c r="B188" s="202" t="s">
        <v>191</v>
      </c>
      <c r="C188" s="203" t="s">
        <v>347</v>
      </c>
      <c r="D188" s="204">
        <v>9.99</v>
      </c>
      <c r="E188" s="203"/>
      <c r="F188" s="204"/>
      <c r="G188" s="202" t="str">
        <f t="shared" si="5"/>
        <v>Not on Google Play</v>
      </c>
      <c r="H188" s="205" t="s">
        <v>410</v>
      </c>
    </row>
    <row r="189" spans="1:8" x14ac:dyDescent="0.75">
      <c r="A189" s="201">
        <v>184</v>
      </c>
      <c r="B189" s="202" t="s">
        <v>53</v>
      </c>
      <c r="C189" s="203" t="s">
        <v>350</v>
      </c>
      <c r="D189" s="204">
        <v>5.99</v>
      </c>
      <c r="E189" s="203"/>
      <c r="F189" s="204"/>
      <c r="G189" s="202" t="str">
        <f t="shared" si="5"/>
        <v>Not on Google Play</v>
      </c>
      <c r="H189" s="205" t="s">
        <v>410</v>
      </c>
    </row>
    <row r="190" spans="1:8" x14ac:dyDescent="0.75">
      <c r="A190" s="201">
        <v>185</v>
      </c>
      <c r="B190" s="202" t="s">
        <v>132</v>
      </c>
      <c r="C190" s="203" t="s">
        <v>347</v>
      </c>
      <c r="D190" s="204">
        <v>1.99</v>
      </c>
      <c r="E190" s="203"/>
      <c r="F190" s="204"/>
      <c r="G190" s="202" t="str">
        <f t="shared" si="5"/>
        <v>Not on Google Play</v>
      </c>
      <c r="H190" s="205" t="s">
        <v>410</v>
      </c>
    </row>
    <row r="191" spans="1:8" x14ac:dyDescent="0.75">
      <c r="A191" s="201">
        <v>186</v>
      </c>
      <c r="B191" s="202" t="s">
        <v>133</v>
      </c>
      <c r="C191" s="203" t="s">
        <v>347</v>
      </c>
      <c r="D191" s="204">
        <v>1.99</v>
      </c>
      <c r="E191" s="203"/>
      <c r="F191" s="204"/>
      <c r="G191" s="202" t="str">
        <f t="shared" si="5"/>
        <v>Not on Google Play</v>
      </c>
      <c r="H191" s="205" t="s">
        <v>410</v>
      </c>
    </row>
    <row r="192" spans="1:8" x14ac:dyDescent="0.75">
      <c r="A192" s="201">
        <v>187</v>
      </c>
      <c r="B192" s="202" t="s">
        <v>135</v>
      </c>
      <c r="C192" s="203" t="s">
        <v>347</v>
      </c>
      <c r="D192" s="204">
        <v>2.99</v>
      </c>
      <c r="E192" s="203"/>
      <c r="F192" s="204"/>
      <c r="G192" s="202" t="str">
        <f t="shared" si="5"/>
        <v>Not on Google Play</v>
      </c>
      <c r="H192" s="205" t="s">
        <v>410</v>
      </c>
    </row>
    <row r="193" spans="1:8" x14ac:dyDescent="0.75">
      <c r="A193" s="201">
        <v>188</v>
      </c>
      <c r="B193" s="202" t="s">
        <v>60</v>
      </c>
      <c r="C193" s="203" t="s">
        <v>350</v>
      </c>
      <c r="D193" s="204">
        <v>6.99</v>
      </c>
      <c r="E193" s="203"/>
      <c r="F193" s="204"/>
      <c r="G193" s="202" t="str">
        <f t="shared" si="5"/>
        <v>Not on Google Play</v>
      </c>
      <c r="H193" s="205" t="s">
        <v>410</v>
      </c>
    </row>
    <row r="194" spans="1:8" x14ac:dyDescent="0.75">
      <c r="A194" s="201">
        <v>189</v>
      </c>
      <c r="B194" s="202" t="s">
        <v>196</v>
      </c>
      <c r="C194" s="203" t="s">
        <v>347</v>
      </c>
      <c r="D194" s="204">
        <v>5.99</v>
      </c>
      <c r="E194" s="203"/>
      <c r="F194" s="204"/>
      <c r="G194" s="202" t="str">
        <f t="shared" si="5"/>
        <v>Not on Google Play</v>
      </c>
      <c r="H194" s="205" t="s">
        <v>410</v>
      </c>
    </row>
    <row r="195" spans="1:8" x14ac:dyDescent="0.75">
      <c r="A195" s="201">
        <v>190</v>
      </c>
      <c r="B195" s="202" t="s">
        <v>243</v>
      </c>
      <c r="C195" s="203" t="s">
        <v>347</v>
      </c>
      <c r="D195" s="204">
        <v>5.99</v>
      </c>
      <c r="E195" s="203"/>
      <c r="F195" s="204"/>
      <c r="G195" s="202" t="str">
        <f t="shared" si="5"/>
        <v>Not on Google Play</v>
      </c>
      <c r="H195" s="205" t="s">
        <v>410</v>
      </c>
    </row>
    <row r="196" spans="1:8" x14ac:dyDescent="0.75">
      <c r="A196" s="201">
        <v>191</v>
      </c>
      <c r="B196" s="202" t="s">
        <v>249</v>
      </c>
      <c r="C196" s="203" t="s">
        <v>347</v>
      </c>
      <c r="D196" s="204">
        <v>7.99</v>
      </c>
      <c r="E196" s="203"/>
      <c r="F196" s="204"/>
      <c r="G196" s="202" t="str">
        <f t="shared" si="5"/>
        <v>Not on Google Play</v>
      </c>
      <c r="H196" s="205" t="s">
        <v>410</v>
      </c>
    </row>
    <row r="197" spans="1:8" x14ac:dyDescent="0.75">
      <c r="A197" s="201">
        <v>192</v>
      </c>
      <c r="B197" s="202" t="s">
        <v>148</v>
      </c>
      <c r="C197" s="203" t="s">
        <v>347</v>
      </c>
      <c r="D197" s="204">
        <v>2.99</v>
      </c>
      <c r="E197" s="203"/>
      <c r="F197" s="204"/>
      <c r="G197" s="202" t="str">
        <f t="shared" si="5"/>
        <v>Not on Google Play</v>
      </c>
      <c r="H197" s="205" t="s">
        <v>410</v>
      </c>
    </row>
    <row r="198" spans="1:8" x14ac:dyDescent="0.75">
      <c r="A198" s="201">
        <v>193</v>
      </c>
      <c r="B198" s="202" t="s">
        <v>205</v>
      </c>
      <c r="C198" s="203" t="s">
        <v>347</v>
      </c>
      <c r="D198" s="204">
        <v>5.99</v>
      </c>
      <c r="E198" s="203"/>
      <c r="F198" s="204"/>
      <c r="G198" s="202" t="str">
        <f t="shared" ref="G198" si="6">IF(C198="","Not on App Store",IF(E198="","Not on Google Play",IF(F198="","Price not shown",IF(AND(C198=E198,ABS(D198-F198)&lt;0.005),"Match",IF(C198&lt;&gt;E198,"Currency differs","Price differs")))))</f>
        <v>Not on Google Play</v>
      </c>
      <c r="H198" s="205" t="s">
        <v>410</v>
      </c>
    </row>
    <row r="200" spans="1:8" x14ac:dyDescent="0.75">
      <c r="B200" s="206" t="s">
        <v>412</v>
      </c>
    </row>
    <row r="201" spans="1:8" x14ac:dyDescent="0.75">
      <c r="B201" s="207" t="s">
        <v>413</v>
      </c>
      <c r="C201" s="207">
        <f>COUNTIF(G6:G198,"Match")</f>
        <v>103</v>
      </c>
    </row>
    <row r="202" spans="1:8" x14ac:dyDescent="0.75">
      <c r="B202" s="207" t="s">
        <v>414</v>
      </c>
      <c r="C202" s="207">
        <f>COUNTIF(G6:G198,"Price differs")</f>
        <v>27</v>
      </c>
    </row>
    <row r="203" spans="1:8" x14ac:dyDescent="0.75">
      <c r="B203" s="207" t="s">
        <v>415</v>
      </c>
      <c r="C203" s="207">
        <f>COUNTIF(G6:G198,"Currency differs")</f>
        <v>27</v>
      </c>
    </row>
    <row r="204" spans="1:8" x14ac:dyDescent="0.75">
      <c r="B204" s="207" t="s">
        <v>416</v>
      </c>
      <c r="C204" s="207">
        <f>COUNTIF(G6:G198,"Not on App Store")</f>
        <v>18</v>
      </c>
    </row>
    <row r="205" spans="1:8" x14ac:dyDescent="0.75">
      <c r="B205" s="207" t="s">
        <v>417</v>
      </c>
      <c r="C205" s="207">
        <f>COUNTIF(G6:G198,"Not on Google Play")</f>
        <v>18</v>
      </c>
    </row>
    <row r="206" spans="1:8" x14ac:dyDescent="0.75">
      <c r="B206" s="207" t="s">
        <v>418</v>
      </c>
      <c r="C206" s="207">
        <f>COUNTIF(G6:G198,"Price not shown")</f>
        <v>0</v>
      </c>
    </row>
  </sheetData>
  <autoFilter ref="A5:H198" xr:uid="{00000000-0009-0000-0000-000002000000}"/>
  <conditionalFormatting sqref="A6:H198">
    <cfRule type="expression" dxfId="1" priority="2">
      <formula>OR($G6="Currency differs",$G6="Price differs")</formula>
    </cfRule>
    <cfRule type="expression" dxfId="0" priority="3">
      <formula>OR($G6="Not on App Store",$G6="Not on Google Play",$G6="Price not shown")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 Store</vt:lpstr>
      <vt:lpstr>Google Play</vt:lpstr>
      <vt:lpstr>Store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Dinesh</cp:lastModifiedBy>
  <cp:revision>0</cp:revision>
  <dcterms:created xsi:type="dcterms:W3CDTF">2026-09-27T07:14:25Z</dcterms:created>
  <dcterms:modified xsi:type="dcterms:W3CDTF">2026-10-03T15:45:44Z</dcterms:modified>
  <dc:language>en-US</dc:language>
</cp:coreProperties>
</file>